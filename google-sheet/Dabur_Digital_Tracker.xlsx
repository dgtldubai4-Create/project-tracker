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All projects" sheetId="3" state="visible" r:id="rId3"/>
    <sheet name="Suhail" sheetId="4" state="visible" r:id="rId4"/>
    <sheet name="Nour" sheetId="5" state="visible" r:id="rId5"/>
    <sheet name="Sanya" sheetId="6" state="visible" r:id="rId6"/>
    <sheet name="Khushii" sheetId="7" state="visible" r:id="rId7"/>
    <sheet name="Team member 4" sheetId="8" state="visible" r:id="rId8"/>
    <sheet name="Comments" sheetId="9" state="visible" r:id="rId9"/>
    <sheet name="List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8">
    <font>
      <name val="Calibri"/>
      <family val="2"/>
      <color theme="1"/>
      <sz val="11"/>
      <scheme val="minor"/>
    </font>
    <font>
      <name val="Arial"/>
      <b val="1"/>
      <color rgb="0012231C"/>
      <sz val="18"/>
    </font>
    <font>
      <name val="Arial"/>
      <i val="1"/>
      <color rgb="005A6B62"/>
      <sz val="10"/>
    </font>
    <font>
      <name val="Arial"/>
      <b val="1"/>
      <color rgb="0012231C"/>
      <sz val="12"/>
    </font>
    <font>
      <name val="Arial"/>
      <b val="1"/>
      <color rgb="0012231C"/>
      <sz val="10"/>
    </font>
    <font>
      <name val="Arial"/>
      <color rgb="0012231C"/>
      <sz val="10"/>
    </font>
    <font>
      <name val="Arial"/>
      <b val="1"/>
      <color rgb="0012231C"/>
      <sz val="15"/>
    </font>
    <font>
      <name val="Arial"/>
      <b val="1"/>
      <color rgb="00FFFFFF"/>
      <sz val="10"/>
    </font>
  </fonts>
  <fills count="3">
    <fill>
      <patternFill/>
    </fill>
    <fill>
      <patternFill patternType="gray125"/>
    </fill>
    <fill>
      <patternFill patternType="solid">
        <fgColor rgb="000E3A2A"/>
      </patternFill>
    </fill>
  </fills>
  <borders count="2">
    <border>
      <left/>
      <right/>
      <top/>
      <bottom/>
      <diagonal/>
    </border>
    <border>
      <top style="thin">
        <color rgb="0012231C"/>
      </top>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7" fillId="2" borderId="0" applyAlignment="1" pivotButton="0" quotePrefix="0" xfId="0">
      <alignment vertical="center" wrapText="1"/>
    </xf>
    <xf numFmtId="0" fontId="4" fillId="0" borderId="1" applyAlignment="1" pivotButton="0" quotePrefix="0" xfId="0">
      <alignment vertical="top" wrapText="1"/>
    </xf>
    <xf numFmtId="165" fontId="5" fillId="0" borderId="0" applyAlignment="1" pivotButton="0" quotePrefix="0" xfId="0">
      <alignment vertical="top" wrapText="1"/>
    </xf>
    <xf numFmtId="0" fontId="6" fillId="0" borderId="0" pivotButton="0" quotePrefix="0" xfId="0"/>
    <xf numFmtId="165" fontId="0" fillId="0" borderId="0" pivotButton="0" quotePrefix="0" xfId="0"/>
    <xf numFmtId="0" fontId="5" fillId="0" borderId="0" pivotButton="0" quotePrefix="0" xfId="0"/>
  </cellXfs>
  <cellStyles count="1">
    <cellStyle name="Normal" xfId="0" builtinId="0" hidden="0"/>
  </cellStyles>
  <dxfs count="4">
    <dxf>
      <fill>
        <patternFill patternType="solid">
          <fgColor rgb="00F8D7D3"/>
          <bgColor rgb="00F8D7D3"/>
        </patternFill>
      </fill>
    </dxf>
    <dxf>
      <fill>
        <patternFill patternType="solid">
          <fgColor rgb="00FCEBC7"/>
          <bgColor rgb="00FCEBC7"/>
        </patternFill>
      </fill>
    </dxf>
    <dxf>
      <font>
        <color rgb="008A938E"/>
      </font>
    </dxf>
    <dxf>
      <font>
        <b val="1"/>
        <color rgb="00B4530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Tracker</author>
  </authors>
  <commentList>
    <comment ref="A2" authorId="0" shapeId="0">
      <text>
        <t>Source: Dabur Digital Network hub (claude.ai artifact), exported 7 Oct 2026.</t>
      </text>
    </comment>
  </commentList>
</comments>
</file>

<file path=xl/comments/comment2.xml><?xml version="1.0" encoding="utf-8"?>
<comments xmlns="http://schemas.openxmlformats.org/spreadsheetml/2006/main">
  <authors>
    <author>Tracker</author>
  </authors>
  <commentList>
    <comment ref="A2" authorId="0" shapeId="0">
      <text>
        <t>Source: Dabur Digital Network hub (claude.ai artifact), exported 7 Oct 2026.</t>
      </text>
    </comment>
  </commentList>
</comments>
</file>

<file path=xl/comments/comment3.xml><?xml version="1.0" encoding="utf-8"?>
<comments xmlns="http://schemas.openxmlformats.org/spreadsheetml/2006/main">
  <authors>
    <author>Tracker</author>
  </authors>
  <commentList>
    <comment ref="A2" authorId="0" shapeId="0">
      <text>
        <t>Source: Dabur Digital Network hub (claude.ai artifact), exported 7 Oct 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0E3A2A"/>
    <outlinePr summaryBelow="1" summaryRight="1"/>
    <pageSetUpPr/>
  </sheetPr>
  <dimension ref="B2:C24"/>
  <sheetViews>
    <sheetView showGridLines="0" workbookViewId="0">
      <selection activeCell="A1" sqref="A1"/>
    </sheetView>
  </sheetViews>
  <sheetFormatPr baseColWidth="8" defaultRowHeight="15"/>
  <cols>
    <col width="3" customWidth="1" min="1" max="1"/>
    <col width="16" customWidth="1" min="2" max="2"/>
    <col width="100" customWidth="1" min="3" max="3"/>
  </cols>
  <sheetData>
    <row r="2">
      <c r="B2" s="1" t="inlineStr">
        <is>
          <t>Dabur International Digital: project tracker</t>
        </is>
      </c>
    </row>
    <row r="3">
      <c r="B3" s="2" t="inlineStr">
        <is>
          <t>Suhail's digital marketing team: MENA and SSA, with support for India, Egypt, Turkey (Hobby) and Pakistan.</t>
        </is>
      </c>
    </row>
    <row r="5">
      <c r="B5" s="3" t="inlineStr">
        <is>
          <t>How to use it</t>
        </is>
      </c>
    </row>
    <row r="6">
      <c r="B6" s="4" t="inlineStr">
        <is>
          <t>1</t>
        </is>
      </c>
      <c r="C6" s="5" t="inlineStr">
        <is>
          <t>Find your own tab (Suhail, Nour, Sanya, Khushii). Only you and Suhail can edit your tab.</t>
        </is>
      </c>
    </row>
    <row r="7">
      <c r="B7" s="4" t="inlineStr">
        <is>
          <t>2</t>
        </is>
      </c>
      <c r="C7" s="5" t="inlineStr">
        <is>
          <t>Add one row per project. Pick Market, Brand, Stream and Status from the dropdowns.</t>
        </is>
      </c>
    </row>
    <row r="8">
      <c r="B8" s="4" t="inlineStr">
        <is>
          <t>3</t>
        </is>
      </c>
      <c r="C8" s="5" t="inlineStr">
        <is>
          <t>When something changes, rewrite "Latest update / next step" and set "Last updated" to today (Ctrl + ; types today's date).</t>
        </is>
      </c>
    </row>
    <row r="9">
      <c r="B9" s="4" t="inlineStr">
        <is>
          <t>4</t>
        </is>
      </c>
      <c r="C9" s="5" t="inlineStr">
        <is>
          <t>If you are stuck or need Suhail, set Status to Blocked and write what you need in "Blocked on / need from Suhail".</t>
        </is>
      </c>
    </row>
    <row r="10">
      <c r="B10" s="4" t="inlineStr">
        <is>
          <t>5</t>
        </is>
      </c>
      <c r="C10" s="5" t="inlineStr">
        <is>
          <t>For updates, ideas, learnings, deck links or questions, add a row in the Comments tab. Everyone can write there.</t>
        </is>
      </c>
    </row>
    <row r="11">
      <c r="B11" s="4" t="inlineStr">
        <is>
          <t>6</t>
        </is>
      </c>
      <c r="C11" s="5" t="inlineStr">
        <is>
          <t>To comment on any single cell, on any tab, right-click it and choose Comment. Type @ and a name to email that person.</t>
        </is>
      </c>
    </row>
    <row r="12">
      <c r="B12" s="4" t="inlineStr"/>
      <c r="C12" s="5" t="inlineStr"/>
    </row>
    <row r="13">
      <c r="B13" s="3" t="inlineStr">
        <is>
          <t>The tabs</t>
        </is>
      </c>
    </row>
    <row r="14">
      <c r="B14" s="4" t="inlineStr">
        <is>
          <t>Dashboard</t>
        </is>
      </c>
      <c r="C14" s="5" t="inlineStr">
        <is>
          <t>Suhail's overview: counts per person and market, what is overdue or blocked, latest comments. Fills itself in.</t>
        </is>
      </c>
    </row>
    <row r="15">
      <c r="B15" s="4" t="inlineStr">
        <is>
          <t>All projects</t>
        </is>
      </c>
      <c r="C15" s="5" t="inlineStr">
        <is>
          <t>Every project from every person's tab in one list. Fills itself in, so don't type here.</t>
        </is>
      </c>
    </row>
    <row r="16">
      <c r="B16" s="4" t="inlineStr">
        <is>
          <t>Your tab</t>
        </is>
      </c>
      <c r="C16" s="5" t="inlineStr">
        <is>
          <t>Your projects. This is the only place you add or change a project.</t>
        </is>
      </c>
    </row>
    <row r="17">
      <c r="B17" s="4" t="inlineStr">
        <is>
          <t>Comments</t>
        </is>
      </c>
      <c r="C17" s="5" t="inlineStr">
        <is>
          <t>Shared notes for the whole team, including Manish and Nishant. Suhail replies in the last column.</t>
        </is>
      </c>
    </row>
    <row r="18">
      <c r="B18" s="4" t="inlineStr">
        <is>
          <t>Lists</t>
        </is>
      </c>
      <c r="C18" s="5" t="inlineStr">
        <is>
          <t>The dropdown values (markets, brands, streams, agencies). Ask Suhail to add a new brand or agency.</t>
        </is>
      </c>
    </row>
    <row r="19">
      <c r="B19" s="4" t="inlineStr"/>
      <c r="C19" s="5" t="inlineStr"/>
    </row>
    <row r="20">
      <c r="B20" s="3" t="inlineStr">
        <is>
          <t>Colours</t>
        </is>
      </c>
    </row>
    <row r="21">
      <c r="B21" s="4" t="inlineStr">
        <is>
          <t>Red row</t>
        </is>
      </c>
      <c r="C21" s="5" t="inlineStr">
        <is>
          <t>Overdue: the due date has passed and the project is not done.</t>
        </is>
      </c>
    </row>
    <row r="22">
      <c r="B22" s="4" t="inlineStr">
        <is>
          <t>Amber row</t>
        </is>
      </c>
      <c r="C22" s="5" t="inlineStr">
        <is>
          <t>Blocked: waiting on someone or something.</t>
        </is>
      </c>
    </row>
    <row r="23">
      <c r="B23" s="4" t="inlineStr">
        <is>
          <t>Grey text</t>
        </is>
      </c>
      <c r="C23" s="5" t="inlineStr">
        <is>
          <t>Done.</t>
        </is>
      </c>
    </row>
    <row r="24">
      <c r="B24" s="4" t="inlineStr">
        <is>
          <t>Orange date</t>
        </is>
      </c>
      <c r="C24" s="5" t="inlineStr">
        <is>
          <t>Last updated more than 14 days ago.</t>
        </is>
      </c>
    </row>
  </sheetData>
  <pageMargins left="0.75" right="0.75" top="1" bottom="1" header="0.5" footer="0.5"/>
</worksheet>
</file>

<file path=xl/worksheets/sheet2.xml><?xml version="1.0" encoding="utf-8"?>
<worksheet xmlns="http://schemas.openxmlformats.org/spreadsheetml/2006/main">
  <sheetPr>
    <tabColor rgb="001D7752"/>
    <outlinePr summaryBelow="1" summaryRight="1"/>
    <pageSetUpPr/>
  </sheetPr>
  <dimension ref="B2:H103"/>
  <sheetViews>
    <sheetView showGridLines="0" workbookViewId="0">
      <selection activeCell="A1" sqref="A1"/>
    </sheetView>
  </sheetViews>
  <sheetFormatPr baseColWidth="8" defaultRowHeight="15"/>
  <cols>
    <col width="3" customWidth="1" min="1" max="1"/>
    <col width="16" customWidth="1" min="2" max="2"/>
    <col width="38" customWidth="1" min="3" max="3"/>
    <col width="15" customWidth="1" min="4" max="4"/>
    <col width="14" customWidth="1" min="5" max="5"/>
    <col width="14" customWidth="1" min="6" max="6"/>
    <col width="44" customWidth="1" min="7" max="7"/>
    <col width="10" customWidth="1" min="8" max="8"/>
  </cols>
  <sheetData>
    <row r="2">
      <c r="B2" s="1" t="inlineStr">
        <is>
          <t>Dashboard</t>
        </is>
      </c>
    </row>
    <row r="3">
      <c r="B3" s="2" t="inlineStr">
        <is>
          <t>Fills itself in from everyone's tabs. Active means not done. Overdue means past the due date and not done.</t>
        </is>
      </c>
    </row>
    <row r="5">
      <c r="B5" s="3" t="inlineStr">
        <is>
          <t>By person</t>
        </is>
      </c>
    </row>
    <row r="6" ht="30" customHeight="1">
      <c r="B6" s="6" t="inlineStr">
        <is>
          <t>Person</t>
        </is>
      </c>
      <c r="C6" s="6" t="inlineStr">
        <is>
          <t>Active</t>
        </is>
      </c>
      <c r="D6" s="6" t="inlineStr">
        <is>
          <t>In progress</t>
        </is>
      </c>
      <c r="E6" s="6" t="inlineStr">
        <is>
          <t>Blocked</t>
        </is>
      </c>
      <c r="F6" s="6" t="inlineStr">
        <is>
          <t>Overdue</t>
        </is>
      </c>
      <c r="G6" s="6" t="inlineStr">
        <is>
          <t>Due in next 14 days</t>
        </is>
      </c>
      <c r="H6" s="6" t="inlineStr">
        <is>
          <t>Done</t>
        </is>
      </c>
    </row>
    <row r="7">
      <c r="B7" s="5">
        <f>'Suhail'!A1</f>
        <v/>
      </c>
      <c r="C7" s="5">
        <f>COUNTIFS('All projects'!$A$3:$A,$B7,'All projects'!$F$3:$F,"&lt;&gt;Done")</f>
        <v/>
      </c>
      <c r="D7" s="5">
        <f>COUNTIFS('All projects'!$A$3:$A,$B7,'All projects'!$F$3:$F,D$6)</f>
        <v/>
      </c>
      <c r="E7" s="5">
        <f>COUNTIFS('All projects'!$A$3:$A,$B7,'All projects'!$F$3:$F,E$6)</f>
        <v/>
      </c>
      <c r="F7" s="5">
        <f>COUNTIFS('All projects'!$A$3:$A,$B7,'All projects'!$F$3:$F,"&lt;&gt;Done",'All projects'!$G$3:$G,"&lt;"&amp;TODAY())</f>
        <v/>
      </c>
      <c r="G7" s="5">
        <f>COUNTIFS('All projects'!$A$3:$A,$B7,'All projects'!$F$3:$F,"&lt;&gt;Done",'All projects'!$G$3:$G,"&gt;="&amp;TODAY(),'All projects'!$G$3:$G,"&lt;="&amp;TODAY()+14)</f>
        <v/>
      </c>
      <c r="H7" s="5">
        <f>COUNTIFS('All projects'!$A$3:$A,$B7,'All projects'!$F$3:$F,H$6)</f>
        <v/>
      </c>
    </row>
    <row r="8">
      <c r="B8" s="5">
        <f>'Nour'!A1</f>
        <v/>
      </c>
      <c r="C8" s="5">
        <f>COUNTIFS('All projects'!$A$3:$A,$B8,'All projects'!$F$3:$F,"&lt;&gt;Done")</f>
        <v/>
      </c>
      <c r="D8" s="5">
        <f>COUNTIFS('All projects'!$A$3:$A,$B8,'All projects'!$F$3:$F,D$6)</f>
        <v/>
      </c>
      <c r="E8" s="5">
        <f>COUNTIFS('All projects'!$A$3:$A,$B8,'All projects'!$F$3:$F,E$6)</f>
        <v/>
      </c>
      <c r="F8" s="5">
        <f>COUNTIFS('All projects'!$A$3:$A,$B8,'All projects'!$F$3:$F,"&lt;&gt;Done",'All projects'!$G$3:$G,"&lt;"&amp;TODAY())</f>
        <v/>
      </c>
      <c r="G8" s="5">
        <f>COUNTIFS('All projects'!$A$3:$A,$B8,'All projects'!$F$3:$F,"&lt;&gt;Done",'All projects'!$G$3:$G,"&gt;="&amp;TODAY(),'All projects'!$G$3:$G,"&lt;="&amp;TODAY()+14)</f>
        <v/>
      </c>
      <c r="H8" s="5">
        <f>COUNTIFS('All projects'!$A$3:$A,$B8,'All projects'!$F$3:$F,H$6)</f>
        <v/>
      </c>
    </row>
    <row r="9">
      <c r="B9" s="5">
        <f>'Sanya'!A1</f>
        <v/>
      </c>
      <c r="C9" s="5">
        <f>COUNTIFS('All projects'!$A$3:$A,$B9,'All projects'!$F$3:$F,"&lt;&gt;Done")</f>
        <v/>
      </c>
      <c r="D9" s="5">
        <f>COUNTIFS('All projects'!$A$3:$A,$B9,'All projects'!$F$3:$F,D$6)</f>
        <v/>
      </c>
      <c r="E9" s="5">
        <f>COUNTIFS('All projects'!$A$3:$A,$B9,'All projects'!$F$3:$F,E$6)</f>
        <v/>
      </c>
      <c r="F9" s="5">
        <f>COUNTIFS('All projects'!$A$3:$A,$B9,'All projects'!$F$3:$F,"&lt;&gt;Done",'All projects'!$G$3:$G,"&lt;"&amp;TODAY())</f>
        <v/>
      </c>
      <c r="G9" s="5">
        <f>COUNTIFS('All projects'!$A$3:$A,$B9,'All projects'!$F$3:$F,"&lt;&gt;Done",'All projects'!$G$3:$G,"&gt;="&amp;TODAY(),'All projects'!$G$3:$G,"&lt;="&amp;TODAY()+14)</f>
        <v/>
      </c>
      <c r="H9" s="5">
        <f>COUNTIFS('All projects'!$A$3:$A,$B9,'All projects'!$F$3:$F,H$6)</f>
        <v/>
      </c>
    </row>
    <row r="10">
      <c r="B10" s="5">
        <f>'Khushii'!A1</f>
        <v/>
      </c>
      <c r="C10" s="5">
        <f>COUNTIFS('All projects'!$A$3:$A,$B10,'All projects'!$F$3:$F,"&lt;&gt;Done")</f>
        <v/>
      </c>
      <c r="D10" s="5">
        <f>COUNTIFS('All projects'!$A$3:$A,$B10,'All projects'!$F$3:$F,D$6)</f>
        <v/>
      </c>
      <c r="E10" s="5">
        <f>COUNTIFS('All projects'!$A$3:$A,$B10,'All projects'!$F$3:$F,E$6)</f>
        <v/>
      </c>
      <c r="F10" s="5">
        <f>COUNTIFS('All projects'!$A$3:$A,$B10,'All projects'!$F$3:$F,"&lt;&gt;Done",'All projects'!$G$3:$G,"&lt;"&amp;TODAY())</f>
        <v/>
      </c>
      <c r="G10" s="5">
        <f>COUNTIFS('All projects'!$A$3:$A,$B10,'All projects'!$F$3:$F,"&lt;&gt;Done",'All projects'!$G$3:$G,"&gt;="&amp;TODAY(),'All projects'!$G$3:$G,"&lt;="&amp;TODAY()+14)</f>
        <v/>
      </c>
      <c r="H10" s="5">
        <f>COUNTIFS('All projects'!$A$3:$A,$B10,'All projects'!$F$3:$F,H$6)</f>
        <v/>
      </c>
    </row>
    <row r="11">
      <c r="B11" s="5">
        <f>'Team member 4'!A1</f>
        <v/>
      </c>
      <c r="C11" s="5">
        <f>COUNTIFS('All projects'!$A$3:$A,$B11,'All projects'!$F$3:$F,"&lt;&gt;Done")</f>
        <v/>
      </c>
      <c r="D11" s="5">
        <f>COUNTIFS('All projects'!$A$3:$A,$B11,'All projects'!$F$3:$F,D$6)</f>
        <v/>
      </c>
      <c r="E11" s="5">
        <f>COUNTIFS('All projects'!$A$3:$A,$B11,'All projects'!$F$3:$F,E$6)</f>
        <v/>
      </c>
      <c r="F11" s="5">
        <f>COUNTIFS('All projects'!$A$3:$A,$B11,'All projects'!$F$3:$F,"&lt;&gt;Done",'All projects'!$G$3:$G,"&lt;"&amp;TODAY())</f>
        <v/>
      </c>
      <c r="G11" s="5">
        <f>COUNTIFS('All projects'!$A$3:$A,$B11,'All projects'!$F$3:$F,"&lt;&gt;Done",'All projects'!$G$3:$G,"&gt;="&amp;TODAY(),'All projects'!$G$3:$G,"&lt;="&amp;TODAY()+14)</f>
        <v/>
      </c>
      <c r="H11" s="5">
        <f>COUNTIFS('All projects'!$A$3:$A,$B11,'All projects'!$F$3:$F,H$6)</f>
        <v/>
      </c>
    </row>
    <row r="12">
      <c r="B12" s="7" t="inlineStr">
        <is>
          <t>Team total</t>
        </is>
      </c>
      <c r="C12" s="7">
        <f>SUM(C7:C11)</f>
        <v/>
      </c>
      <c r="D12" s="7">
        <f>SUM(D7:D11)</f>
        <v/>
      </c>
      <c r="E12" s="7">
        <f>SUM(E7:E11)</f>
        <v/>
      </c>
      <c r="F12" s="7">
        <f>SUM(F7:F11)</f>
        <v/>
      </c>
      <c r="G12" s="7">
        <f>SUM(G7:G11)</f>
        <v/>
      </c>
      <c r="H12" s="7">
        <f>SUM(H7:H11)</f>
        <v/>
      </c>
    </row>
    <row r="14">
      <c r="B14" s="3" t="inlineStr">
        <is>
          <t>By market</t>
        </is>
      </c>
    </row>
    <row r="15" ht="30" customHeight="1">
      <c r="B15" s="6" t="inlineStr">
        <is>
          <t>Market</t>
        </is>
      </c>
      <c r="C15" s="6" t="inlineStr">
        <is>
          <t>Active</t>
        </is>
      </c>
      <c r="D15" s="6" t="inlineStr">
        <is>
          <t>In progress</t>
        </is>
      </c>
      <c r="E15" s="6" t="inlineStr">
        <is>
          <t>Blocked</t>
        </is>
      </c>
      <c r="F15" s="6" t="inlineStr">
        <is>
          <t>Overdue</t>
        </is>
      </c>
      <c r="G15" s="6" t="inlineStr">
        <is>
          <t>Due in next 14 days</t>
        </is>
      </c>
      <c r="H15" s="6" t="inlineStr">
        <is>
          <t>Done</t>
        </is>
      </c>
    </row>
    <row r="16">
      <c r="B16" s="5">
        <f>Lists!A2</f>
        <v/>
      </c>
      <c r="C16" s="5">
        <f>COUNTIFS('All projects'!$C$3:$C,$B16,'All projects'!$F$3:$F,"&lt;&gt;Done")</f>
        <v/>
      </c>
      <c r="D16" s="5">
        <f>COUNTIFS('All projects'!$C$3:$C,$B16,'All projects'!$F$3:$F,D$15)</f>
        <v/>
      </c>
      <c r="E16" s="5">
        <f>COUNTIFS('All projects'!$C$3:$C,$B16,'All projects'!$F$3:$F,E$15)</f>
        <v/>
      </c>
      <c r="F16" s="5">
        <f>COUNTIFS('All projects'!$C$3:$C,$B16,'All projects'!$F$3:$F,"&lt;&gt;Done",'All projects'!$G$3:$G,"&lt;"&amp;TODAY())</f>
        <v/>
      </c>
      <c r="G16" s="5">
        <f>COUNTIFS('All projects'!$C$3:$C,$B16,'All projects'!$F$3:$F,"&lt;&gt;Done",'All projects'!$G$3:$G,"&gt;="&amp;TODAY(),'All projects'!$G$3:$G,"&lt;="&amp;TODAY()+14)</f>
        <v/>
      </c>
      <c r="H16" s="5">
        <f>COUNTIFS('All projects'!$C$3:$C,$B16,'All projects'!$F$3:$F,H$15)</f>
        <v/>
      </c>
    </row>
    <row r="17">
      <c r="B17" s="5">
        <f>Lists!A3</f>
        <v/>
      </c>
      <c r="C17" s="5">
        <f>COUNTIFS('All projects'!$C$3:$C,$B17,'All projects'!$F$3:$F,"&lt;&gt;Done")</f>
        <v/>
      </c>
      <c r="D17" s="5">
        <f>COUNTIFS('All projects'!$C$3:$C,$B17,'All projects'!$F$3:$F,D$15)</f>
        <v/>
      </c>
      <c r="E17" s="5">
        <f>COUNTIFS('All projects'!$C$3:$C,$B17,'All projects'!$F$3:$F,E$15)</f>
        <v/>
      </c>
      <c r="F17" s="5">
        <f>COUNTIFS('All projects'!$C$3:$C,$B17,'All projects'!$F$3:$F,"&lt;&gt;Done",'All projects'!$G$3:$G,"&lt;"&amp;TODAY())</f>
        <v/>
      </c>
      <c r="G17" s="5">
        <f>COUNTIFS('All projects'!$C$3:$C,$B17,'All projects'!$F$3:$F,"&lt;&gt;Done",'All projects'!$G$3:$G,"&gt;="&amp;TODAY(),'All projects'!$G$3:$G,"&lt;="&amp;TODAY()+14)</f>
        <v/>
      </c>
      <c r="H17" s="5">
        <f>COUNTIFS('All projects'!$C$3:$C,$B17,'All projects'!$F$3:$F,H$15)</f>
        <v/>
      </c>
    </row>
    <row r="18">
      <c r="B18" s="5">
        <f>Lists!A4</f>
        <v/>
      </c>
      <c r="C18" s="5">
        <f>COUNTIFS('All projects'!$C$3:$C,$B18,'All projects'!$F$3:$F,"&lt;&gt;Done")</f>
        <v/>
      </c>
      <c r="D18" s="5">
        <f>COUNTIFS('All projects'!$C$3:$C,$B18,'All projects'!$F$3:$F,D$15)</f>
        <v/>
      </c>
      <c r="E18" s="5">
        <f>COUNTIFS('All projects'!$C$3:$C,$B18,'All projects'!$F$3:$F,E$15)</f>
        <v/>
      </c>
      <c r="F18" s="5">
        <f>COUNTIFS('All projects'!$C$3:$C,$B18,'All projects'!$F$3:$F,"&lt;&gt;Done",'All projects'!$G$3:$G,"&lt;"&amp;TODAY())</f>
        <v/>
      </c>
      <c r="G18" s="5">
        <f>COUNTIFS('All projects'!$C$3:$C,$B18,'All projects'!$F$3:$F,"&lt;&gt;Done",'All projects'!$G$3:$G,"&gt;="&amp;TODAY(),'All projects'!$G$3:$G,"&lt;="&amp;TODAY()+14)</f>
        <v/>
      </c>
      <c r="H18" s="5">
        <f>COUNTIFS('All projects'!$C$3:$C,$B18,'All projects'!$F$3:$F,H$15)</f>
        <v/>
      </c>
    </row>
    <row r="19">
      <c r="B19" s="5">
        <f>Lists!A5</f>
        <v/>
      </c>
      <c r="C19" s="5">
        <f>COUNTIFS('All projects'!$C$3:$C,$B19,'All projects'!$F$3:$F,"&lt;&gt;Done")</f>
        <v/>
      </c>
      <c r="D19" s="5">
        <f>COUNTIFS('All projects'!$C$3:$C,$B19,'All projects'!$F$3:$F,D$15)</f>
        <v/>
      </c>
      <c r="E19" s="5">
        <f>COUNTIFS('All projects'!$C$3:$C,$B19,'All projects'!$F$3:$F,E$15)</f>
        <v/>
      </c>
      <c r="F19" s="5">
        <f>COUNTIFS('All projects'!$C$3:$C,$B19,'All projects'!$F$3:$F,"&lt;&gt;Done",'All projects'!$G$3:$G,"&lt;"&amp;TODAY())</f>
        <v/>
      </c>
      <c r="G19" s="5">
        <f>COUNTIFS('All projects'!$C$3:$C,$B19,'All projects'!$F$3:$F,"&lt;&gt;Done",'All projects'!$G$3:$G,"&gt;="&amp;TODAY(),'All projects'!$G$3:$G,"&lt;="&amp;TODAY()+14)</f>
        <v/>
      </c>
      <c r="H19" s="5">
        <f>COUNTIFS('All projects'!$C$3:$C,$B19,'All projects'!$F$3:$F,H$15)</f>
        <v/>
      </c>
    </row>
    <row r="20">
      <c r="B20" s="5">
        <f>Lists!A6</f>
        <v/>
      </c>
      <c r="C20" s="5">
        <f>COUNTIFS('All projects'!$C$3:$C,$B20,'All projects'!$F$3:$F,"&lt;&gt;Done")</f>
        <v/>
      </c>
      <c r="D20" s="5">
        <f>COUNTIFS('All projects'!$C$3:$C,$B20,'All projects'!$F$3:$F,D$15)</f>
        <v/>
      </c>
      <c r="E20" s="5">
        <f>COUNTIFS('All projects'!$C$3:$C,$B20,'All projects'!$F$3:$F,E$15)</f>
        <v/>
      </c>
      <c r="F20" s="5">
        <f>COUNTIFS('All projects'!$C$3:$C,$B20,'All projects'!$F$3:$F,"&lt;&gt;Done",'All projects'!$G$3:$G,"&lt;"&amp;TODAY())</f>
        <v/>
      </c>
      <c r="G20" s="5">
        <f>COUNTIFS('All projects'!$C$3:$C,$B20,'All projects'!$F$3:$F,"&lt;&gt;Done",'All projects'!$G$3:$G,"&gt;="&amp;TODAY(),'All projects'!$G$3:$G,"&lt;="&amp;TODAY()+14)</f>
        <v/>
      </c>
      <c r="H20" s="5">
        <f>COUNTIFS('All projects'!$C$3:$C,$B20,'All projects'!$F$3:$F,H$15)</f>
        <v/>
      </c>
    </row>
    <row r="21">
      <c r="B21" s="5">
        <f>Lists!A7</f>
        <v/>
      </c>
      <c r="C21" s="5">
        <f>COUNTIFS('All projects'!$C$3:$C,$B21,'All projects'!$F$3:$F,"&lt;&gt;Done")</f>
        <v/>
      </c>
      <c r="D21" s="5">
        <f>COUNTIFS('All projects'!$C$3:$C,$B21,'All projects'!$F$3:$F,D$15)</f>
        <v/>
      </c>
      <c r="E21" s="5">
        <f>COUNTIFS('All projects'!$C$3:$C,$B21,'All projects'!$F$3:$F,E$15)</f>
        <v/>
      </c>
      <c r="F21" s="5">
        <f>COUNTIFS('All projects'!$C$3:$C,$B21,'All projects'!$F$3:$F,"&lt;&gt;Done",'All projects'!$G$3:$G,"&lt;"&amp;TODAY())</f>
        <v/>
      </c>
      <c r="G21" s="5">
        <f>COUNTIFS('All projects'!$C$3:$C,$B21,'All projects'!$F$3:$F,"&lt;&gt;Done",'All projects'!$G$3:$G,"&gt;="&amp;TODAY(),'All projects'!$G$3:$G,"&lt;="&amp;TODAY()+14)</f>
        <v/>
      </c>
      <c r="H21" s="5">
        <f>COUNTIFS('All projects'!$C$3:$C,$B21,'All projects'!$F$3:$F,H$15)</f>
        <v/>
      </c>
    </row>
    <row r="22">
      <c r="B22" s="5">
        <f>Lists!A8</f>
        <v/>
      </c>
      <c r="C22" s="5">
        <f>COUNTIFS('All projects'!$C$3:$C,$B22,'All projects'!$F$3:$F,"&lt;&gt;Done")</f>
        <v/>
      </c>
      <c r="D22" s="5">
        <f>COUNTIFS('All projects'!$C$3:$C,$B22,'All projects'!$F$3:$F,D$15)</f>
        <v/>
      </c>
      <c r="E22" s="5">
        <f>COUNTIFS('All projects'!$C$3:$C,$B22,'All projects'!$F$3:$F,E$15)</f>
        <v/>
      </c>
      <c r="F22" s="5">
        <f>COUNTIFS('All projects'!$C$3:$C,$B22,'All projects'!$F$3:$F,"&lt;&gt;Done",'All projects'!$G$3:$G,"&lt;"&amp;TODAY())</f>
        <v/>
      </c>
      <c r="G22" s="5">
        <f>COUNTIFS('All projects'!$C$3:$C,$B22,'All projects'!$F$3:$F,"&lt;&gt;Done",'All projects'!$G$3:$G,"&gt;="&amp;TODAY(),'All projects'!$G$3:$G,"&lt;="&amp;TODAY()+14)</f>
        <v/>
      </c>
      <c r="H22" s="5">
        <f>COUNTIFS('All projects'!$C$3:$C,$B22,'All projects'!$F$3:$F,H$15)</f>
        <v/>
      </c>
    </row>
    <row r="23">
      <c r="B23" s="5">
        <f>Lists!A9</f>
        <v/>
      </c>
      <c r="C23" s="5">
        <f>COUNTIFS('All projects'!$C$3:$C,$B23,'All projects'!$F$3:$F,"&lt;&gt;Done")</f>
        <v/>
      </c>
      <c r="D23" s="5">
        <f>COUNTIFS('All projects'!$C$3:$C,$B23,'All projects'!$F$3:$F,D$15)</f>
        <v/>
      </c>
      <c r="E23" s="5">
        <f>COUNTIFS('All projects'!$C$3:$C,$B23,'All projects'!$F$3:$F,E$15)</f>
        <v/>
      </c>
      <c r="F23" s="5">
        <f>COUNTIFS('All projects'!$C$3:$C,$B23,'All projects'!$F$3:$F,"&lt;&gt;Done",'All projects'!$G$3:$G,"&lt;"&amp;TODAY())</f>
        <v/>
      </c>
      <c r="G23" s="5">
        <f>COUNTIFS('All projects'!$C$3:$C,$B23,'All projects'!$F$3:$F,"&lt;&gt;Done",'All projects'!$G$3:$G,"&gt;="&amp;TODAY(),'All projects'!$G$3:$G,"&lt;="&amp;TODAY()+14)</f>
        <v/>
      </c>
      <c r="H23" s="5">
        <f>COUNTIFS('All projects'!$C$3:$C,$B23,'All projects'!$F$3:$F,H$15)</f>
        <v/>
      </c>
    </row>
    <row r="25">
      <c r="B25" s="3" t="inlineStr">
        <is>
          <t>Needs attention: overdue or blocked</t>
        </is>
      </c>
    </row>
    <row r="26" ht="30" customHeight="1">
      <c r="B26" s="6" t="inlineStr">
        <is>
          <t>Owner</t>
        </is>
      </c>
      <c r="C26" s="6" t="inlineStr">
        <is>
          <t>Project</t>
        </is>
      </c>
      <c r="D26" s="6" t="inlineStr">
        <is>
          <t>Market</t>
        </is>
      </c>
      <c r="E26" s="6" t="inlineStr">
        <is>
          <t>Status</t>
        </is>
      </c>
      <c r="F26" s="6" t="inlineStr">
        <is>
          <t>Due date</t>
        </is>
      </c>
      <c r="G26" s="6" t="inlineStr">
        <is>
          <t>Blocked on / need from Suhail</t>
        </is>
      </c>
    </row>
    <row r="27">
      <c r="B27" s="5">
        <f>IFERROR(QUERY('All projects'!A3:L,"select A,B,C,F,G,I where F = 'Blocked' or (G &lt; date '"&amp;TEXT(TODAY(),"yyyy-mm-dd")&amp;"' and F &lt;&gt; 'Done') order by G",0),"Nothing overdue or blocked.")</f>
        <v/>
      </c>
      <c r="C27" s="5" t="n"/>
      <c r="D27" s="5" t="n"/>
      <c r="E27" s="5" t="n"/>
      <c r="F27" s="8" t="n"/>
      <c r="G27" s="5" t="n"/>
    </row>
    <row r="28">
      <c r="B28" s="5" t="n"/>
      <c r="C28" s="5" t="n"/>
      <c r="D28" s="5" t="n"/>
      <c r="E28" s="5" t="n"/>
      <c r="F28" s="8" t="n"/>
      <c r="G28" s="5" t="n"/>
    </row>
    <row r="29">
      <c r="B29" s="5" t="n"/>
      <c r="C29" s="5" t="n"/>
      <c r="D29" s="5" t="n"/>
      <c r="E29" s="5" t="n"/>
      <c r="F29" s="8" t="n"/>
      <c r="G29" s="5" t="n"/>
    </row>
    <row r="30">
      <c r="B30" s="5" t="n"/>
      <c r="C30" s="5" t="n"/>
      <c r="D30" s="5" t="n"/>
      <c r="E30" s="5" t="n"/>
      <c r="F30" s="8" t="n"/>
      <c r="G30" s="5" t="n"/>
    </row>
    <row r="31">
      <c r="B31" s="5" t="n"/>
      <c r="C31" s="5" t="n"/>
      <c r="D31" s="5" t="n"/>
      <c r="E31" s="5" t="n"/>
      <c r="F31" s="8" t="n"/>
      <c r="G31" s="5" t="n"/>
    </row>
    <row r="32">
      <c r="B32" s="5" t="n"/>
      <c r="C32" s="5" t="n"/>
      <c r="D32" s="5" t="n"/>
      <c r="E32" s="5" t="n"/>
      <c r="F32" s="8" t="n"/>
      <c r="G32" s="5" t="n"/>
    </row>
    <row r="33">
      <c r="B33" s="5" t="n"/>
      <c r="C33" s="5" t="n"/>
      <c r="D33" s="5" t="n"/>
      <c r="E33" s="5" t="n"/>
      <c r="F33" s="8" t="n"/>
      <c r="G33" s="5" t="n"/>
    </row>
    <row r="34">
      <c r="B34" s="5" t="n"/>
      <c r="C34" s="5" t="n"/>
      <c r="D34" s="5" t="n"/>
      <c r="E34" s="5" t="n"/>
      <c r="F34" s="8" t="n"/>
      <c r="G34" s="5" t="n"/>
    </row>
    <row r="35">
      <c r="B35" s="5" t="n"/>
      <c r="C35" s="5" t="n"/>
      <c r="D35" s="5" t="n"/>
      <c r="E35" s="5" t="n"/>
      <c r="F35" s="8" t="n"/>
      <c r="G35" s="5" t="n"/>
    </row>
    <row r="36">
      <c r="B36" s="5" t="n"/>
      <c r="C36" s="5" t="n"/>
      <c r="D36" s="5" t="n"/>
      <c r="E36" s="5" t="n"/>
      <c r="F36" s="8" t="n"/>
      <c r="G36" s="5" t="n"/>
    </row>
    <row r="37">
      <c r="B37" s="5" t="n"/>
      <c r="C37" s="5" t="n"/>
      <c r="D37" s="5" t="n"/>
      <c r="E37" s="5" t="n"/>
      <c r="F37" s="8" t="n"/>
      <c r="G37" s="5" t="n"/>
    </row>
    <row r="38">
      <c r="B38" s="5" t="n"/>
      <c r="C38" s="5" t="n"/>
      <c r="D38" s="5" t="n"/>
      <c r="E38" s="5" t="n"/>
      <c r="F38" s="8" t="n"/>
      <c r="G38" s="5" t="n"/>
    </row>
    <row r="39">
      <c r="B39" s="5" t="n"/>
      <c r="C39" s="5" t="n"/>
      <c r="D39" s="5" t="n"/>
      <c r="E39" s="5" t="n"/>
      <c r="F39" s="8" t="n"/>
      <c r="G39" s="5" t="n"/>
    </row>
    <row r="40">
      <c r="B40" s="5" t="n"/>
      <c r="C40" s="5" t="n"/>
      <c r="D40" s="5" t="n"/>
      <c r="E40" s="5" t="n"/>
      <c r="F40" s="8" t="n"/>
      <c r="G40" s="5" t="n"/>
    </row>
    <row r="41">
      <c r="B41" s="5" t="n"/>
      <c r="C41" s="5" t="n"/>
      <c r="D41" s="5" t="n"/>
      <c r="E41" s="5" t="n"/>
      <c r="F41" s="8" t="n"/>
      <c r="G41" s="5" t="n"/>
    </row>
    <row r="42">
      <c r="B42" s="5" t="n"/>
      <c r="C42" s="5" t="n"/>
      <c r="D42" s="5" t="n"/>
      <c r="E42" s="5" t="n"/>
      <c r="F42" s="8" t="n"/>
      <c r="G42" s="5" t="n"/>
    </row>
    <row r="43">
      <c r="B43" s="5" t="n"/>
      <c r="C43" s="5" t="n"/>
      <c r="D43" s="5" t="n"/>
      <c r="E43" s="5" t="n"/>
      <c r="F43" s="8" t="n"/>
      <c r="G43" s="5" t="n"/>
    </row>
    <row r="44">
      <c r="B44" s="5" t="n"/>
      <c r="C44" s="5" t="n"/>
      <c r="D44" s="5" t="n"/>
      <c r="E44" s="5" t="n"/>
      <c r="F44" s="8" t="n"/>
      <c r="G44" s="5" t="n"/>
    </row>
    <row r="45">
      <c r="B45" s="5" t="n"/>
      <c r="C45" s="5" t="n"/>
      <c r="D45" s="5" t="n"/>
      <c r="E45" s="5" t="n"/>
      <c r="F45" s="8" t="n"/>
      <c r="G45" s="5" t="n"/>
    </row>
    <row r="46">
      <c r="B46" s="5" t="n"/>
      <c r="C46" s="5" t="n"/>
      <c r="D46" s="5" t="n"/>
      <c r="E46" s="5" t="n"/>
      <c r="F46" s="8" t="n"/>
      <c r="G46" s="5" t="n"/>
    </row>
    <row r="47">
      <c r="B47" s="5" t="n"/>
      <c r="C47" s="5" t="n"/>
      <c r="D47" s="5" t="n"/>
      <c r="E47" s="5" t="n"/>
      <c r="F47" s="8" t="n"/>
      <c r="G47" s="5" t="n"/>
    </row>
    <row r="48">
      <c r="B48" s="5" t="n"/>
      <c r="C48" s="5" t="n"/>
      <c r="D48" s="5" t="n"/>
      <c r="E48" s="5" t="n"/>
      <c r="F48" s="8" t="n"/>
      <c r="G48" s="5" t="n"/>
    </row>
    <row r="49">
      <c r="B49" s="5" t="n"/>
      <c r="C49" s="5" t="n"/>
      <c r="D49" s="5" t="n"/>
      <c r="E49" s="5" t="n"/>
      <c r="F49" s="8" t="n"/>
      <c r="G49" s="5" t="n"/>
    </row>
    <row r="50">
      <c r="B50" s="5" t="n"/>
      <c r="C50" s="5" t="n"/>
      <c r="D50" s="5" t="n"/>
      <c r="E50" s="5" t="n"/>
      <c r="F50" s="8" t="n"/>
      <c r="G50" s="5" t="n"/>
    </row>
    <row r="51">
      <c r="B51" s="5" t="n"/>
      <c r="C51" s="5" t="n"/>
      <c r="D51" s="5" t="n"/>
      <c r="E51" s="5" t="n"/>
      <c r="F51" s="8" t="n"/>
      <c r="G51" s="5" t="n"/>
    </row>
    <row r="52">
      <c r="B52" s="5" t="n"/>
      <c r="C52" s="5" t="n"/>
      <c r="D52" s="5" t="n"/>
      <c r="E52" s="5" t="n"/>
      <c r="F52" s="8" t="n"/>
      <c r="G52" s="5" t="n"/>
    </row>
    <row r="53">
      <c r="B53" s="5" t="n"/>
      <c r="C53" s="5" t="n"/>
      <c r="D53" s="5" t="n"/>
      <c r="E53" s="5" t="n"/>
      <c r="F53" s="8" t="n"/>
      <c r="G53" s="5" t="n"/>
    </row>
    <row r="54">
      <c r="B54" s="5" t="n"/>
      <c r="C54" s="5" t="n"/>
      <c r="D54" s="5" t="n"/>
      <c r="E54" s="5" t="n"/>
      <c r="F54" s="8" t="n"/>
      <c r="G54" s="5" t="n"/>
    </row>
    <row r="55">
      <c r="B55" s="5" t="n"/>
      <c r="C55" s="5" t="n"/>
      <c r="D55" s="5" t="n"/>
      <c r="E55" s="5" t="n"/>
      <c r="F55" s="8" t="n"/>
      <c r="G55" s="5" t="n"/>
    </row>
    <row r="56">
      <c r="B56" s="5" t="n"/>
      <c r="C56" s="5" t="n"/>
      <c r="D56" s="5" t="n"/>
      <c r="E56" s="5" t="n"/>
      <c r="F56" s="8" t="n"/>
      <c r="G56" s="5" t="n"/>
    </row>
    <row r="58">
      <c r="B58" s="3" t="inlineStr">
        <is>
          <t>Due in the next 14 days</t>
        </is>
      </c>
    </row>
    <row r="59" ht="30" customHeight="1">
      <c r="B59" s="6" t="inlineStr">
        <is>
          <t>Owner</t>
        </is>
      </c>
      <c r="C59" s="6" t="inlineStr">
        <is>
          <t>Project</t>
        </is>
      </c>
      <c r="D59" s="6" t="inlineStr">
        <is>
          <t>Market</t>
        </is>
      </c>
      <c r="E59" s="6" t="inlineStr">
        <is>
          <t>Status</t>
        </is>
      </c>
      <c r="F59" s="6" t="inlineStr">
        <is>
          <t>Due date</t>
        </is>
      </c>
      <c r="G59" s="6" t="inlineStr">
        <is>
          <t>Latest update / next step</t>
        </is>
      </c>
    </row>
    <row r="60">
      <c r="B60" s="5">
        <f>IFERROR(QUERY('All projects'!A3:L,"select A,B,C,F,G,H where F &lt;&gt; 'Done' and G &gt;= date '"&amp;TEXT(TODAY(),"yyyy-mm-dd")&amp;"' and G &lt;= date '"&amp;TEXT(TODAY()+14,"yyyy-mm-dd")&amp;"' order by G",0),"Nothing due in the next 14 days.")</f>
        <v/>
      </c>
      <c r="C60" s="5" t="n"/>
      <c r="D60" s="5" t="n"/>
      <c r="E60" s="5" t="n"/>
      <c r="F60" s="8" t="n"/>
      <c r="G60" s="5" t="n"/>
    </row>
    <row r="61">
      <c r="B61" s="5" t="n"/>
      <c r="C61" s="5" t="n"/>
      <c r="D61" s="5" t="n"/>
      <c r="E61" s="5" t="n"/>
      <c r="F61" s="8" t="n"/>
      <c r="G61" s="5" t="n"/>
    </row>
    <row r="62">
      <c r="B62" s="5" t="n"/>
      <c r="C62" s="5" t="n"/>
      <c r="D62" s="5" t="n"/>
      <c r="E62" s="5" t="n"/>
      <c r="F62" s="8" t="n"/>
      <c r="G62" s="5" t="n"/>
    </row>
    <row r="63">
      <c r="B63" s="5" t="n"/>
      <c r="C63" s="5" t="n"/>
      <c r="D63" s="5" t="n"/>
      <c r="E63" s="5" t="n"/>
      <c r="F63" s="8" t="n"/>
      <c r="G63" s="5" t="n"/>
    </row>
    <row r="64">
      <c r="B64" s="5" t="n"/>
      <c r="C64" s="5" t="n"/>
      <c r="D64" s="5" t="n"/>
      <c r="E64" s="5" t="n"/>
      <c r="F64" s="8" t="n"/>
      <c r="G64" s="5" t="n"/>
    </row>
    <row r="65">
      <c r="B65" s="5" t="n"/>
      <c r="C65" s="5" t="n"/>
      <c r="D65" s="5" t="n"/>
      <c r="E65" s="5" t="n"/>
      <c r="F65" s="8" t="n"/>
      <c r="G65" s="5" t="n"/>
    </row>
    <row r="66">
      <c r="B66" s="5" t="n"/>
      <c r="C66" s="5" t="n"/>
      <c r="D66" s="5" t="n"/>
      <c r="E66" s="5" t="n"/>
      <c r="F66" s="8" t="n"/>
      <c r="G66" s="5" t="n"/>
    </row>
    <row r="67">
      <c r="B67" s="5" t="n"/>
      <c r="C67" s="5" t="n"/>
      <c r="D67" s="5" t="n"/>
      <c r="E67" s="5" t="n"/>
      <c r="F67" s="8" t="n"/>
      <c r="G67" s="5" t="n"/>
    </row>
    <row r="68">
      <c r="B68" s="5" t="n"/>
      <c r="C68" s="5" t="n"/>
      <c r="D68" s="5" t="n"/>
      <c r="E68" s="5" t="n"/>
      <c r="F68" s="8" t="n"/>
      <c r="G68" s="5" t="n"/>
    </row>
    <row r="69">
      <c r="B69" s="5" t="n"/>
      <c r="C69" s="5" t="n"/>
      <c r="D69" s="5" t="n"/>
      <c r="E69" s="5" t="n"/>
      <c r="F69" s="8" t="n"/>
      <c r="G69" s="5" t="n"/>
    </row>
    <row r="70">
      <c r="B70" s="5" t="n"/>
      <c r="C70" s="5" t="n"/>
      <c r="D70" s="5" t="n"/>
      <c r="E70" s="5" t="n"/>
      <c r="F70" s="8" t="n"/>
      <c r="G70" s="5" t="n"/>
    </row>
    <row r="71">
      <c r="B71" s="5" t="n"/>
      <c r="C71" s="5" t="n"/>
      <c r="D71" s="5" t="n"/>
      <c r="E71" s="5" t="n"/>
      <c r="F71" s="8" t="n"/>
      <c r="G71" s="5" t="n"/>
    </row>
    <row r="72">
      <c r="B72" s="5" t="n"/>
      <c r="C72" s="5" t="n"/>
      <c r="D72" s="5" t="n"/>
      <c r="E72" s="5" t="n"/>
      <c r="F72" s="8" t="n"/>
      <c r="G72" s="5" t="n"/>
    </row>
    <row r="73">
      <c r="B73" s="5" t="n"/>
      <c r="C73" s="5" t="n"/>
      <c r="D73" s="5" t="n"/>
      <c r="E73" s="5" t="n"/>
      <c r="F73" s="8" t="n"/>
      <c r="G73" s="5" t="n"/>
    </row>
    <row r="74">
      <c r="B74" s="5" t="n"/>
      <c r="C74" s="5" t="n"/>
      <c r="D74" s="5" t="n"/>
      <c r="E74" s="5" t="n"/>
      <c r="F74" s="8" t="n"/>
      <c r="G74" s="5" t="n"/>
    </row>
    <row r="75">
      <c r="B75" s="5" t="n"/>
      <c r="C75" s="5" t="n"/>
      <c r="D75" s="5" t="n"/>
      <c r="E75" s="5" t="n"/>
      <c r="F75" s="8" t="n"/>
      <c r="G75" s="5" t="n"/>
    </row>
    <row r="76">
      <c r="B76" s="5" t="n"/>
      <c r="C76" s="5" t="n"/>
      <c r="D76" s="5" t="n"/>
      <c r="E76" s="5" t="n"/>
      <c r="F76" s="8" t="n"/>
      <c r="G76" s="5" t="n"/>
    </row>
    <row r="77">
      <c r="B77" s="5" t="n"/>
      <c r="C77" s="5" t="n"/>
      <c r="D77" s="5" t="n"/>
      <c r="E77" s="5" t="n"/>
      <c r="F77" s="8" t="n"/>
      <c r="G77" s="5" t="n"/>
    </row>
    <row r="78">
      <c r="B78" s="5" t="n"/>
      <c r="C78" s="5" t="n"/>
      <c r="D78" s="5" t="n"/>
      <c r="E78" s="5" t="n"/>
      <c r="F78" s="8" t="n"/>
      <c r="G78" s="5" t="n"/>
    </row>
    <row r="79">
      <c r="B79" s="5" t="n"/>
      <c r="C79" s="5" t="n"/>
      <c r="D79" s="5" t="n"/>
      <c r="E79" s="5" t="n"/>
      <c r="F79" s="8" t="n"/>
      <c r="G79" s="5" t="n"/>
    </row>
    <row r="80">
      <c r="B80" s="5" t="n"/>
      <c r="C80" s="5" t="n"/>
      <c r="D80" s="5" t="n"/>
      <c r="E80" s="5" t="n"/>
      <c r="F80" s="8" t="n"/>
      <c r="G80" s="5" t="n"/>
    </row>
    <row r="81">
      <c r="B81" s="5" t="n"/>
      <c r="C81" s="5" t="n"/>
      <c r="D81" s="5" t="n"/>
      <c r="E81" s="5" t="n"/>
      <c r="F81" s="8" t="n"/>
      <c r="G81" s="5" t="n"/>
    </row>
    <row r="82">
      <c r="B82" s="5" t="n"/>
      <c r="C82" s="5" t="n"/>
      <c r="D82" s="5" t="n"/>
      <c r="E82" s="5" t="n"/>
      <c r="F82" s="8" t="n"/>
      <c r="G82" s="5" t="n"/>
    </row>
    <row r="83">
      <c r="B83" s="5" t="n"/>
      <c r="C83" s="5" t="n"/>
      <c r="D83" s="5" t="n"/>
      <c r="E83" s="5" t="n"/>
      <c r="F83" s="8" t="n"/>
      <c r="G83" s="5" t="n"/>
    </row>
    <row r="84">
      <c r="B84" s="5" t="n"/>
      <c r="C84" s="5" t="n"/>
      <c r="D84" s="5" t="n"/>
      <c r="E84" s="5" t="n"/>
      <c r="F84" s="8" t="n"/>
      <c r="G84" s="5" t="n"/>
    </row>
    <row r="85">
      <c r="B85" s="5" t="n"/>
      <c r="C85" s="5" t="n"/>
      <c r="D85" s="5" t="n"/>
      <c r="E85" s="5" t="n"/>
      <c r="F85" s="8" t="n"/>
      <c r="G85" s="5" t="n"/>
    </row>
    <row r="86">
      <c r="B86" s="5" t="n"/>
      <c r="C86" s="5" t="n"/>
      <c r="D86" s="5" t="n"/>
      <c r="E86" s="5" t="n"/>
      <c r="F86" s="8" t="n"/>
      <c r="G86" s="5" t="n"/>
    </row>
    <row r="87">
      <c r="B87" s="5" t="n"/>
      <c r="C87" s="5" t="n"/>
      <c r="D87" s="5" t="n"/>
      <c r="E87" s="5" t="n"/>
      <c r="F87" s="8" t="n"/>
      <c r="G87" s="5" t="n"/>
    </row>
    <row r="88">
      <c r="B88" s="5" t="n"/>
      <c r="C88" s="5" t="n"/>
      <c r="D88" s="5" t="n"/>
      <c r="E88" s="5" t="n"/>
      <c r="F88" s="8" t="n"/>
      <c r="G88" s="5" t="n"/>
    </row>
    <row r="89">
      <c r="B89" s="5" t="n"/>
      <c r="C89" s="5" t="n"/>
      <c r="D89" s="5" t="n"/>
      <c r="E89" s="5" t="n"/>
      <c r="F89" s="8" t="n"/>
      <c r="G89" s="5" t="n"/>
    </row>
    <row r="91">
      <c r="B91" s="3" t="inlineStr">
        <is>
          <t>Latest comments</t>
        </is>
      </c>
    </row>
    <row r="92" ht="30" customHeight="1">
      <c r="B92" s="6" t="inlineStr">
        <is>
          <t>Date</t>
        </is>
      </c>
      <c r="C92" s="6" t="inlineStr">
        <is>
          <t>Who</t>
        </is>
      </c>
      <c r="D92" s="6" t="inlineStr">
        <is>
          <t>Project</t>
        </is>
      </c>
      <c r="E92" s="6" t="inlineStr">
        <is>
          <t>Type</t>
        </is>
      </c>
      <c r="F92" s="6" t="inlineStr">
        <is>
          <t>Comment</t>
        </is>
      </c>
      <c r="G92" s="6" t="inlineStr">
        <is>
          <t>Reply from Suhail</t>
        </is>
      </c>
    </row>
    <row r="93">
      <c r="B93" s="8">
        <f>IFERROR(QUERY(Comments!A3:G,"select A,B,C,D,E,G where E &lt;&gt; '' order by A desc limit 10",0),"No comments yet.")</f>
        <v/>
      </c>
      <c r="C93" s="5" t="n"/>
      <c r="D93" s="5" t="n"/>
      <c r="E93" s="5" t="n"/>
      <c r="F93" s="5" t="n"/>
      <c r="G93" s="5" t="n"/>
    </row>
    <row r="94">
      <c r="B94" s="8" t="n"/>
      <c r="C94" s="5" t="n"/>
      <c r="D94" s="5" t="n"/>
      <c r="E94" s="5" t="n"/>
      <c r="F94" s="5" t="n"/>
      <c r="G94" s="5" t="n"/>
    </row>
    <row r="95">
      <c r="B95" s="8" t="n"/>
      <c r="C95" s="5" t="n"/>
      <c r="D95" s="5" t="n"/>
      <c r="E95" s="5" t="n"/>
      <c r="F95" s="5" t="n"/>
      <c r="G95" s="5" t="n"/>
    </row>
    <row r="96">
      <c r="B96" s="8" t="n"/>
      <c r="C96" s="5" t="n"/>
      <c r="D96" s="5" t="n"/>
      <c r="E96" s="5" t="n"/>
      <c r="F96" s="5" t="n"/>
      <c r="G96" s="5" t="n"/>
    </row>
    <row r="97">
      <c r="B97" s="8" t="n"/>
      <c r="C97" s="5" t="n"/>
      <c r="D97" s="5" t="n"/>
      <c r="E97" s="5" t="n"/>
      <c r="F97" s="5" t="n"/>
      <c r="G97" s="5" t="n"/>
    </row>
    <row r="98">
      <c r="B98" s="8" t="n"/>
      <c r="C98" s="5" t="n"/>
      <c r="D98" s="5" t="n"/>
      <c r="E98" s="5" t="n"/>
      <c r="F98" s="5" t="n"/>
      <c r="G98" s="5" t="n"/>
    </row>
    <row r="99">
      <c r="B99" s="8" t="n"/>
      <c r="C99" s="5" t="n"/>
      <c r="D99" s="5" t="n"/>
      <c r="E99" s="5" t="n"/>
      <c r="F99" s="5" t="n"/>
      <c r="G99" s="5" t="n"/>
    </row>
    <row r="100">
      <c r="B100" s="8" t="n"/>
      <c r="C100" s="5" t="n"/>
      <c r="D100" s="5" t="n"/>
      <c r="E100" s="5" t="n"/>
      <c r="F100" s="5" t="n"/>
      <c r="G100" s="5" t="n"/>
    </row>
    <row r="101">
      <c r="B101" s="8" t="n"/>
      <c r="C101" s="5" t="n"/>
      <c r="D101" s="5" t="n"/>
      <c r="E101" s="5" t="n"/>
      <c r="F101" s="5" t="n"/>
      <c r="G101" s="5" t="n"/>
    </row>
    <row r="102">
      <c r="B102" s="8" t="n"/>
      <c r="C102" s="5" t="n"/>
      <c r="D102" s="5" t="n"/>
      <c r="E102" s="5" t="n"/>
      <c r="F102" s="5" t="n"/>
      <c r="G102" s="5" t="n"/>
    </row>
    <row r="103">
      <c r="B103" s="8" t="n"/>
      <c r="C103" s="5" t="n"/>
      <c r="D103" s="5" t="n"/>
      <c r="E103" s="5" t="n"/>
      <c r="F103" s="5" t="n"/>
      <c r="G103" s="5" t="n"/>
    </row>
  </sheetData>
  <conditionalFormatting sqref="F7:F12">
    <cfRule type="expression" priority="1" dxfId="0">
      <formula>F7&gt;0</formula>
    </cfRule>
  </conditionalFormatting>
  <conditionalFormatting sqref="E7:E12">
    <cfRule type="expression" priority="2" dxfId="1">
      <formula>E7&gt;0</formula>
    </cfRule>
  </conditionalFormatting>
  <conditionalFormatting sqref="F16:F23">
    <cfRule type="expression" priority="3" dxfId="0">
      <formula>F16&gt;0</formula>
    </cfRule>
  </conditionalFormatting>
  <conditionalFormatting sqref="E16:E23">
    <cfRule type="expression" priority="4" dxfId="1">
      <formula>E16&gt;0</formula>
    </cfRule>
  </conditionalFormatting>
  <pageMargins left="0.75" right="0.75" top="1" bottom="1" header="0.5" footer="0.5"/>
</worksheet>
</file>

<file path=xl/worksheets/sheet3.xml><?xml version="1.0" encoding="utf-8"?>
<worksheet xmlns="http://schemas.openxmlformats.org/spreadsheetml/2006/main">
  <sheetPr>
    <tabColor rgb="002C4078"/>
    <outlinePr summaryBelow="1" summaryRight="1"/>
    <pageSetUpPr/>
  </sheetPr>
  <dimension ref="A1:L8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38" customWidth="1" min="2" max="2"/>
    <col width="15" customWidth="1" min="3" max="3"/>
    <col width="20" customWidth="1" min="4" max="4"/>
    <col width="22" customWidth="1" min="5" max="5"/>
    <col width="13" customWidth="1" min="6" max="6"/>
    <col width="12" customWidth="1" min="7" max="7"/>
    <col width="48" customWidth="1" min="8" max="8"/>
    <col width="32" customWidth="1" min="9" max="9"/>
    <col width="22" customWidth="1" min="10" max="10"/>
    <col width="26" customWidth="1" min="11" max="11"/>
    <col width="13" customWidth="1" min="12" max="12"/>
  </cols>
  <sheetData>
    <row r="1">
      <c r="A1" s="9" t="inlineStr">
        <is>
          <t>All projects</t>
        </is>
      </c>
      <c r="C1" s="2" t="inlineStr">
        <is>
          <t>Fills itself in from each person's tab. Don't type here; change projects on the owner's tab.</t>
        </is>
      </c>
    </row>
    <row r="2" ht="30" customHeight="1">
      <c r="A2" s="6" t="inlineStr">
        <is>
          <t>Owner</t>
        </is>
      </c>
      <c r="B2" s="6" t="inlineStr">
        <is>
          <t>Project</t>
        </is>
      </c>
      <c r="C2" s="6" t="inlineStr">
        <is>
          <t>Market</t>
        </is>
      </c>
      <c r="D2" s="6" t="inlineStr">
        <is>
          <t>Brand</t>
        </is>
      </c>
      <c r="E2" s="6" t="inlineStr">
        <is>
          <t>Stream</t>
        </is>
      </c>
      <c r="F2" s="6" t="inlineStr">
        <is>
          <t>Status</t>
        </is>
      </c>
      <c r="G2" s="6" t="inlineStr">
        <is>
          <t>Due date</t>
        </is>
      </c>
      <c r="H2" s="6" t="inlineStr">
        <is>
          <t>Latest update / next step</t>
        </is>
      </c>
      <c r="I2" s="6" t="inlineStr">
        <is>
          <t>Blocked on / need from Suhail</t>
        </is>
      </c>
      <c r="J2" s="6" t="inlineStr">
        <is>
          <t>Agency</t>
        </is>
      </c>
      <c r="K2" s="6" t="inlineStr">
        <is>
          <t>Link (brief, deck, folder)</t>
        </is>
      </c>
      <c r="L2" s="6" t="inlineStr">
        <is>
          <t>Last updated</t>
        </is>
      </c>
    </row>
    <row r="3">
      <c r="A3" s="5">
        <f>ARRAYFORMULA(QUERY({IF(LEN('Suhail'!A3:A),'Suhail'!$A$1,),'Suhail'!A3:K; IF(LEN('Nour'!A3:A),'Nour'!$A$1,),'Nour'!A3:K; IF(LEN('Sanya'!A3:A),'Sanya'!$A$1,),'Sanya'!A3:K; IF(LEN('Khushii'!A3:A),'Khushii'!$A$1,),'Khushii'!A3:K; IF(LEN('Team member 4'!A3:A),'Team member 4'!$A$1,),'Team member 4'!A3:K},"select * where Col2 &lt;&gt; ''",0))</f>
        <v/>
      </c>
      <c r="B3" s="5" t="n"/>
      <c r="C3" s="5" t="n"/>
      <c r="D3" s="5" t="n"/>
      <c r="E3" s="5" t="n"/>
      <c r="F3" s="5" t="n"/>
      <c r="G3" s="8" t="n"/>
      <c r="H3" s="5" t="n"/>
      <c r="I3" s="5" t="n"/>
      <c r="J3" s="5" t="n"/>
      <c r="K3" s="5" t="n"/>
      <c r="L3" s="8" t="n"/>
    </row>
    <row r="4">
      <c r="A4" s="5" t="n"/>
      <c r="B4" s="5" t="n"/>
      <c r="C4" s="5" t="n"/>
      <c r="D4" s="5" t="n"/>
      <c r="E4" s="5" t="n"/>
      <c r="F4" s="5" t="n"/>
      <c r="G4" s="8" t="n"/>
      <c r="H4" s="5" t="n"/>
      <c r="I4" s="5" t="n"/>
      <c r="J4" s="5" t="n"/>
      <c r="K4" s="5" t="n"/>
      <c r="L4" s="8" t="n"/>
    </row>
    <row r="5">
      <c r="A5" s="5" t="n"/>
      <c r="B5" s="5" t="n"/>
      <c r="C5" s="5" t="n"/>
      <c r="D5" s="5" t="n"/>
      <c r="E5" s="5" t="n"/>
      <c r="F5" s="5" t="n"/>
      <c r="G5" s="8" t="n"/>
      <c r="H5" s="5" t="n"/>
      <c r="I5" s="5" t="n"/>
      <c r="J5" s="5" t="n"/>
      <c r="K5" s="5" t="n"/>
      <c r="L5" s="8" t="n"/>
    </row>
    <row r="6">
      <c r="A6" s="5" t="n"/>
      <c r="B6" s="5" t="n"/>
      <c r="C6" s="5" t="n"/>
      <c r="D6" s="5" t="n"/>
      <c r="E6" s="5" t="n"/>
      <c r="F6" s="5" t="n"/>
      <c r="G6" s="8" t="n"/>
      <c r="H6" s="5" t="n"/>
      <c r="I6" s="5" t="n"/>
      <c r="J6" s="5" t="n"/>
      <c r="K6" s="5" t="n"/>
      <c r="L6" s="8" t="n"/>
    </row>
    <row r="7">
      <c r="A7" s="5" t="n"/>
      <c r="B7" s="5" t="n"/>
      <c r="C7" s="5" t="n"/>
      <c r="D7" s="5" t="n"/>
      <c r="E7" s="5" t="n"/>
      <c r="F7" s="5" t="n"/>
      <c r="G7" s="8" t="n"/>
      <c r="H7" s="5" t="n"/>
      <c r="I7" s="5" t="n"/>
      <c r="J7" s="5" t="n"/>
      <c r="K7" s="5" t="n"/>
      <c r="L7" s="8" t="n"/>
    </row>
    <row r="8">
      <c r="A8" s="5" t="n"/>
      <c r="B8" s="5" t="n"/>
      <c r="C8" s="5" t="n"/>
      <c r="D8" s="5" t="n"/>
      <c r="E8" s="5" t="n"/>
      <c r="F8" s="5" t="n"/>
      <c r="G8" s="8" t="n"/>
      <c r="H8" s="5" t="n"/>
      <c r="I8" s="5" t="n"/>
      <c r="J8" s="5" t="n"/>
      <c r="K8" s="5" t="n"/>
      <c r="L8" s="8" t="n"/>
    </row>
    <row r="9">
      <c r="A9" s="5" t="n"/>
      <c r="B9" s="5" t="n"/>
      <c r="C9" s="5" t="n"/>
      <c r="D9" s="5" t="n"/>
      <c r="E9" s="5" t="n"/>
      <c r="F9" s="5" t="n"/>
      <c r="G9" s="8" t="n"/>
      <c r="H9" s="5" t="n"/>
      <c r="I9" s="5" t="n"/>
      <c r="J9" s="5" t="n"/>
      <c r="K9" s="5" t="n"/>
      <c r="L9" s="8" t="n"/>
    </row>
    <row r="10">
      <c r="A10" s="5" t="n"/>
      <c r="B10" s="5" t="n"/>
      <c r="C10" s="5" t="n"/>
      <c r="D10" s="5" t="n"/>
      <c r="E10" s="5" t="n"/>
      <c r="F10" s="5" t="n"/>
      <c r="G10" s="8" t="n"/>
      <c r="H10" s="5" t="n"/>
      <c r="I10" s="5" t="n"/>
      <c r="J10" s="5" t="n"/>
      <c r="K10" s="5" t="n"/>
      <c r="L10" s="8" t="n"/>
    </row>
    <row r="11">
      <c r="A11" s="5" t="n"/>
      <c r="B11" s="5" t="n"/>
      <c r="C11" s="5" t="n"/>
      <c r="D11" s="5" t="n"/>
      <c r="E11" s="5" t="n"/>
      <c r="F11" s="5" t="n"/>
      <c r="G11" s="8" t="n"/>
      <c r="H11" s="5" t="n"/>
      <c r="I11" s="5" t="n"/>
      <c r="J11" s="5" t="n"/>
      <c r="K11" s="5" t="n"/>
      <c r="L11" s="8" t="n"/>
    </row>
    <row r="12">
      <c r="A12" s="5" t="n"/>
      <c r="B12" s="5" t="n"/>
      <c r="C12" s="5" t="n"/>
      <c r="D12" s="5" t="n"/>
      <c r="E12" s="5" t="n"/>
      <c r="F12" s="5" t="n"/>
      <c r="G12" s="8" t="n"/>
      <c r="H12" s="5" t="n"/>
      <c r="I12" s="5" t="n"/>
      <c r="J12" s="5" t="n"/>
      <c r="K12" s="5" t="n"/>
      <c r="L12" s="8" t="n"/>
    </row>
    <row r="13">
      <c r="A13" s="5" t="n"/>
      <c r="B13" s="5" t="n"/>
      <c r="C13" s="5" t="n"/>
      <c r="D13" s="5" t="n"/>
      <c r="E13" s="5" t="n"/>
      <c r="F13" s="5" t="n"/>
      <c r="G13" s="8" t="n"/>
      <c r="H13" s="5" t="n"/>
      <c r="I13" s="5" t="n"/>
      <c r="J13" s="5" t="n"/>
      <c r="K13" s="5" t="n"/>
      <c r="L13" s="8" t="n"/>
    </row>
    <row r="14">
      <c r="A14" s="5" t="n"/>
      <c r="B14" s="5" t="n"/>
      <c r="C14" s="5" t="n"/>
      <c r="D14" s="5" t="n"/>
      <c r="E14" s="5" t="n"/>
      <c r="F14" s="5" t="n"/>
      <c r="G14" s="8" t="n"/>
      <c r="H14" s="5" t="n"/>
      <c r="I14" s="5" t="n"/>
      <c r="J14" s="5" t="n"/>
      <c r="K14" s="5" t="n"/>
      <c r="L14" s="8" t="n"/>
    </row>
    <row r="15">
      <c r="A15" s="5" t="n"/>
      <c r="B15" s="5" t="n"/>
      <c r="C15" s="5" t="n"/>
      <c r="D15" s="5" t="n"/>
      <c r="E15" s="5" t="n"/>
      <c r="F15" s="5" t="n"/>
      <c r="G15" s="8" t="n"/>
      <c r="H15" s="5" t="n"/>
      <c r="I15" s="5" t="n"/>
      <c r="J15" s="5" t="n"/>
      <c r="K15" s="5" t="n"/>
      <c r="L15" s="8" t="n"/>
    </row>
    <row r="16">
      <c r="A16" s="5" t="n"/>
      <c r="B16" s="5" t="n"/>
      <c r="C16" s="5" t="n"/>
      <c r="D16" s="5" t="n"/>
      <c r="E16" s="5" t="n"/>
      <c r="F16" s="5" t="n"/>
      <c r="G16" s="8" t="n"/>
      <c r="H16" s="5" t="n"/>
      <c r="I16" s="5" t="n"/>
      <c r="J16" s="5" t="n"/>
      <c r="K16" s="5" t="n"/>
      <c r="L16" s="8" t="n"/>
    </row>
    <row r="17">
      <c r="A17" s="5" t="n"/>
      <c r="B17" s="5" t="n"/>
      <c r="C17" s="5" t="n"/>
      <c r="D17" s="5" t="n"/>
      <c r="E17" s="5" t="n"/>
      <c r="F17" s="5" t="n"/>
      <c r="G17" s="8" t="n"/>
      <c r="H17" s="5" t="n"/>
      <c r="I17" s="5" t="n"/>
      <c r="J17" s="5" t="n"/>
      <c r="K17" s="5" t="n"/>
      <c r="L17" s="8" t="n"/>
    </row>
    <row r="18">
      <c r="A18" s="5" t="n"/>
      <c r="B18" s="5" t="n"/>
      <c r="C18" s="5" t="n"/>
      <c r="D18" s="5" t="n"/>
      <c r="E18" s="5" t="n"/>
      <c r="F18" s="5" t="n"/>
      <c r="G18" s="8" t="n"/>
      <c r="H18" s="5" t="n"/>
      <c r="I18" s="5" t="n"/>
      <c r="J18" s="5" t="n"/>
      <c r="K18" s="5" t="n"/>
      <c r="L18" s="8" t="n"/>
    </row>
    <row r="19">
      <c r="A19" s="5" t="n"/>
      <c r="B19" s="5" t="n"/>
      <c r="C19" s="5" t="n"/>
      <c r="D19" s="5" t="n"/>
      <c r="E19" s="5" t="n"/>
      <c r="F19" s="5" t="n"/>
      <c r="G19" s="8" t="n"/>
      <c r="H19" s="5" t="n"/>
      <c r="I19" s="5" t="n"/>
      <c r="J19" s="5" t="n"/>
      <c r="K19" s="5" t="n"/>
      <c r="L19" s="8" t="n"/>
    </row>
    <row r="20">
      <c r="A20" s="5" t="n"/>
      <c r="B20" s="5" t="n"/>
      <c r="C20" s="5" t="n"/>
      <c r="D20" s="5" t="n"/>
      <c r="E20" s="5" t="n"/>
      <c r="F20" s="5" t="n"/>
      <c r="G20" s="8" t="n"/>
      <c r="H20" s="5" t="n"/>
      <c r="I20" s="5" t="n"/>
      <c r="J20" s="5" t="n"/>
      <c r="K20" s="5" t="n"/>
      <c r="L20" s="8" t="n"/>
    </row>
    <row r="21">
      <c r="A21" s="5" t="n"/>
      <c r="B21" s="5" t="n"/>
      <c r="C21" s="5" t="n"/>
      <c r="D21" s="5" t="n"/>
      <c r="E21" s="5" t="n"/>
      <c r="F21" s="5" t="n"/>
      <c r="G21" s="8" t="n"/>
      <c r="H21" s="5" t="n"/>
      <c r="I21" s="5" t="n"/>
      <c r="J21" s="5" t="n"/>
      <c r="K21" s="5" t="n"/>
      <c r="L21" s="8" t="n"/>
    </row>
    <row r="22">
      <c r="A22" s="5" t="n"/>
      <c r="B22" s="5" t="n"/>
      <c r="C22" s="5" t="n"/>
      <c r="D22" s="5" t="n"/>
      <c r="E22" s="5" t="n"/>
      <c r="F22" s="5" t="n"/>
      <c r="G22" s="8" t="n"/>
      <c r="H22" s="5" t="n"/>
      <c r="I22" s="5" t="n"/>
      <c r="J22" s="5" t="n"/>
      <c r="K22" s="5" t="n"/>
      <c r="L22" s="8" t="n"/>
    </row>
    <row r="23">
      <c r="A23" s="5" t="n"/>
      <c r="B23" s="5" t="n"/>
      <c r="C23" s="5" t="n"/>
      <c r="D23" s="5" t="n"/>
      <c r="E23" s="5" t="n"/>
      <c r="F23" s="5" t="n"/>
      <c r="G23" s="8" t="n"/>
      <c r="H23" s="5" t="n"/>
      <c r="I23" s="5" t="n"/>
      <c r="J23" s="5" t="n"/>
      <c r="K23" s="5" t="n"/>
      <c r="L23" s="8" t="n"/>
    </row>
    <row r="24">
      <c r="A24" s="5" t="n"/>
      <c r="B24" s="5" t="n"/>
      <c r="C24" s="5" t="n"/>
      <c r="D24" s="5" t="n"/>
      <c r="E24" s="5" t="n"/>
      <c r="F24" s="5" t="n"/>
      <c r="G24" s="8" t="n"/>
      <c r="H24" s="5" t="n"/>
      <c r="I24" s="5" t="n"/>
      <c r="J24" s="5" t="n"/>
      <c r="K24" s="5" t="n"/>
      <c r="L24" s="8" t="n"/>
    </row>
    <row r="25">
      <c r="A25" s="5" t="n"/>
      <c r="B25" s="5" t="n"/>
      <c r="C25" s="5" t="n"/>
      <c r="D25" s="5" t="n"/>
      <c r="E25" s="5" t="n"/>
      <c r="F25" s="5" t="n"/>
      <c r="G25" s="8" t="n"/>
      <c r="H25" s="5" t="n"/>
      <c r="I25" s="5" t="n"/>
      <c r="J25" s="5" t="n"/>
      <c r="K25" s="5" t="n"/>
      <c r="L25" s="8" t="n"/>
    </row>
    <row r="26">
      <c r="A26" s="5" t="n"/>
      <c r="B26" s="5" t="n"/>
      <c r="C26" s="5" t="n"/>
      <c r="D26" s="5" t="n"/>
      <c r="E26" s="5" t="n"/>
      <c r="F26" s="5" t="n"/>
      <c r="G26" s="8" t="n"/>
      <c r="H26" s="5" t="n"/>
      <c r="I26" s="5" t="n"/>
      <c r="J26" s="5" t="n"/>
      <c r="K26" s="5" t="n"/>
      <c r="L26" s="8" t="n"/>
    </row>
    <row r="27">
      <c r="A27" s="5" t="n"/>
      <c r="B27" s="5" t="n"/>
      <c r="C27" s="5" t="n"/>
      <c r="D27" s="5" t="n"/>
      <c r="E27" s="5" t="n"/>
      <c r="F27" s="5" t="n"/>
      <c r="G27" s="8" t="n"/>
      <c r="H27" s="5" t="n"/>
      <c r="I27" s="5" t="n"/>
      <c r="J27" s="5" t="n"/>
      <c r="K27" s="5" t="n"/>
      <c r="L27" s="8" t="n"/>
    </row>
    <row r="28">
      <c r="A28" s="5" t="n"/>
      <c r="B28" s="5" t="n"/>
      <c r="C28" s="5" t="n"/>
      <c r="D28" s="5" t="n"/>
      <c r="E28" s="5" t="n"/>
      <c r="F28" s="5" t="n"/>
      <c r="G28" s="8" t="n"/>
      <c r="H28" s="5" t="n"/>
      <c r="I28" s="5" t="n"/>
      <c r="J28" s="5" t="n"/>
      <c r="K28" s="5" t="n"/>
      <c r="L28" s="8" t="n"/>
    </row>
    <row r="29">
      <c r="A29" s="5" t="n"/>
      <c r="B29" s="5" t="n"/>
      <c r="C29" s="5" t="n"/>
      <c r="D29" s="5" t="n"/>
      <c r="E29" s="5" t="n"/>
      <c r="F29" s="5" t="n"/>
      <c r="G29" s="8" t="n"/>
      <c r="H29" s="5" t="n"/>
      <c r="I29" s="5" t="n"/>
      <c r="J29" s="5" t="n"/>
      <c r="K29" s="5" t="n"/>
      <c r="L29" s="8" t="n"/>
    </row>
    <row r="30">
      <c r="A30" s="5" t="n"/>
      <c r="B30" s="5" t="n"/>
      <c r="C30" s="5" t="n"/>
      <c r="D30" s="5" t="n"/>
      <c r="E30" s="5" t="n"/>
      <c r="F30" s="5" t="n"/>
      <c r="G30" s="8" t="n"/>
      <c r="H30" s="5" t="n"/>
      <c r="I30" s="5" t="n"/>
      <c r="J30" s="5" t="n"/>
      <c r="K30" s="5" t="n"/>
      <c r="L30" s="8" t="n"/>
    </row>
    <row r="31">
      <c r="A31" s="5" t="n"/>
      <c r="B31" s="5" t="n"/>
      <c r="C31" s="5" t="n"/>
      <c r="D31" s="5" t="n"/>
      <c r="E31" s="5" t="n"/>
      <c r="F31" s="5" t="n"/>
      <c r="G31" s="8" t="n"/>
      <c r="H31" s="5" t="n"/>
      <c r="I31" s="5" t="n"/>
      <c r="J31" s="5" t="n"/>
      <c r="K31" s="5" t="n"/>
      <c r="L31" s="8" t="n"/>
    </row>
    <row r="32">
      <c r="A32" s="5" t="n"/>
      <c r="B32" s="5" t="n"/>
      <c r="C32" s="5" t="n"/>
      <c r="D32" s="5" t="n"/>
      <c r="E32" s="5" t="n"/>
      <c r="F32" s="5" t="n"/>
      <c r="G32" s="8" t="n"/>
      <c r="H32" s="5" t="n"/>
      <c r="I32" s="5" t="n"/>
      <c r="J32" s="5" t="n"/>
      <c r="K32" s="5" t="n"/>
      <c r="L32" s="8" t="n"/>
    </row>
    <row r="33">
      <c r="A33" s="5" t="n"/>
      <c r="B33" s="5" t="n"/>
      <c r="C33" s="5" t="n"/>
      <c r="D33" s="5" t="n"/>
      <c r="E33" s="5" t="n"/>
      <c r="F33" s="5" t="n"/>
      <c r="G33" s="8" t="n"/>
      <c r="H33" s="5" t="n"/>
      <c r="I33" s="5" t="n"/>
      <c r="J33" s="5" t="n"/>
      <c r="K33" s="5" t="n"/>
      <c r="L33" s="8" t="n"/>
    </row>
    <row r="34">
      <c r="A34" s="5" t="n"/>
      <c r="B34" s="5" t="n"/>
      <c r="C34" s="5" t="n"/>
      <c r="D34" s="5" t="n"/>
      <c r="E34" s="5" t="n"/>
      <c r="F34" s="5" t="n"/>
      <c r="G34" s="8" t="n"/>
      <c r="H34" s="5" t="n"/>
      <c r="I34" s="5" t="n"/>
      <c r="J34" s="5" t="n"/>
      <c r="K34" s="5" t="n"/>
      <c r="L34" s="8" t="n"/>
    </row>
    <row r="35">
      <c r="A35" s="5" t="n"/>
      <c r="B35" s="5" t="n"/>
      <c r="C35" s="5" t="n"/>
      <c r="D35" s="5" t="n"/>
      <c r="E35" s="5" t="n"/>
      <c r="F35" s="5" t="n"/>
      <c r="G35" s="8" t="n"/>
      <c r="H35" s="5" t="n"/>
      <c r="I35" s="5" t="n"/>
      <c r="J35" s="5" t="n"/>
      <c r="K35" s="5" t="n"/>
      <c r="L35" s="8" t="n"/>
    </row>
    <row r="36">
      <c r="A36" s="5" t="n"/>
      <c r="B36" s="5" t="n"/>
      <c r="C36" s="5" t="n"/>
      <c r="D36" s="5" t="n"/>
      <c r="E36" s="5" t="n"/>
      <c r="F36" s="5" t="n"/>
      <c r="G36" s="8" t="n"/>
      <c r="H36" s="5" t="n"/>
      <c r="I36" s="5" t="n"/>
      <c r="J36" s="5" t="n"/>
      <c r="K36" s="5" t="n"/>
      <c r="L36" s="8" t="n"/>
    </row>
    <row r="37">
      <c r="A37" s="5" t="n"/>
      <c r="B37" s="5" t="n"/>
      <c r="C37" s="5" t="n"/>
      <c r="D37" s="5" t="n"/>
      <c r="E37" s="5" t="n"/>
      <c r="F37" s="5" t="n"/>
      <c r="G37" s="8" t="n"/>
      <c r="H37" s="5" t="n"/>
      <c r="I37" s="5" t="n"/>
      <c r="J37" s="5" t="n"/>
      <c r="K37" s="5" t="n"/>
      <c r="L37" s="8" t="n"/>
    </row>
    <row r="38">
      <c r="A38" s="5" t="n"/>
      <c r="B38" s="5" t="n"/>
      <c r="C38" s="5" t="n"/>
      <c r="D38" s="5" t="n"/>
      <c r="E38" s="5" t="n"/>
      <c r="F38" s="5" t="n"/>
      <c r="G38" s="8" t="n"/>
      <c r="H38" s="5" t="n"/>
      <c r="I38" s="5" t="n"/>
      <c r="J38" s="5" t="n"/>
      <c r="K38" s="5" t="n"/>
      <c r="L38" s="8" t="n"/>
    </row>
    <row r="39">
      <c r="A39" s="5" t="n"/>
      <c r="B39" s="5" t="n"/>
      <c r="C39" s="5" t="n"/>
      <c r="D39" s="5" t="n"/>
      <c r="E39" s="5" t="n"/>
      <c r="F39" s="5" t="n"/>
      <c r="G39" s="8" t="n"/>
      <c r="H39" s="5" t="n"/>
      <c r="I39" s="5" t="n"/>
      <c r="J39" s="5" t="n"/>
      <c r="K39" s="5" t="n"/>
      <c r="L39" s="8" t="n"/>
    </row>
    <row r="40">
      <c r="A40" s="5" t="n"/>
      <c r="B40" s="5" t="n"/>
      <c r="C40" s="5" t="n"/>
      <c r="D40" s="5" t="n"/>
      <c r="E40" s="5" t="n"/>
      <c r="F40" s="5" t="n"/>
      <c r="G40" s="8" t="n"/>
      <c r="H40" s="5" t="n"/>
      <c r="I40" s="5" t="n"/>
      <c r="J40" s="5" t="n"/>
      <c r="K40" s="5" t="n"/>
      <c r="L40" s="8" t="n"/>
    </row>
    <row r="41">
      <c r="A41" s="5" t="n"/>
      <c r="B41" s="5" t="n"/>
      <c r="C41" s="5" t="n"/>
      <c r="D41" s="5" t="n"/>
      <c r="E41" s="5" t="n"/>
      <c r="F41" s="5" t="n"/>
      <c r="G41" s="8" t="n"/>
      <c r="H41" s="5" t="n"/>
      <c r="I41" s="5" t="n"/>
      <c r="J41" s="5" t="n"/>
      <c r="K41" s="5" t="n"/>
      <c r="L41" s="8" t="n"/>
    </row>
    <row r="42">
      <c r="A42" s="5" t="n"/>
      <c r="B42" s="5" t="n"/>
      <c r="C42" s="5" t="n"/>
      <c r="D42" s="5" t="n"/>
      <c r="E42" s="5" t="n"/>
      <c r="F42" s="5" t="n"/>
      <c r="G42" s="8" t="n"/>
      <c r="H42" s="5" t="n"/>
      <c r="I42" s="5" t="n"/>
      <c r="J42" s="5" t="n"/>
      <c r="K42" s="5" t="n"/>
      <c r="L42" s="8" t="n"/>
    </row>
    <row r="43">
      <c r="A43" s="5" t="n"/>
      <c r="B43" s="5" t="n"/>
      <c r="C43" s="5" t="n"/>
      <c r="D43" s="5" t="n"/>
      <c r="E43" s="5" t="n"/>
      <c r="F43" s="5" t="n"/>
      <c r="G43" s="8" t="n"/>
      <c r="H43" s="5" t="n"/>
      <c r="I43" s="5" t="n"/>
      <c r="J43" s="5" t="n"/>
      <c r="K43" s="5" t="n"/>
      <c r="L43" s="8" t="n"/>
    </row>
    <row r="44">
      <c r="A44" s="5" t="n"/>
      <c r="B44" s="5" t="n"/>
      <c r="C44" s="5" t="n"/>
      <c r="D44" s="5" t="n"/>
      <c r="E44" s="5" t="n"/>
      <c r="F44" s="5" t="n"/>
      <c r="G44" s="8" t="n"/>
      <c r="H44" s="5" t="n"/>
      <c r="I44" s="5" t="n"/>
      <c r="J44" s="5" t="n"/>
      <c r="K44" s="5" t="n"/>
      <c r="L44" s="8" t="n"/>
    </row>
    <row r="45">
      <c r="A45" s="5" t="n"/>
      <c r="B45" s="5" t="n"/>
      <c r="C45" s="5" t="n"/>
      <c r="D45" s="5" t="n"/>
      <c r="E45" s="5" t="n"/>
      <c r="F45" s="5" t="n"/>
      <c r="G45" s="8" t="n"/>
      <c r="H45" s="5" t="n"/>
      <c r="I45" s="5" t="n"/>
      <c r="J45" s="5" t="n"/>
      <c r="K45" s="5" t="n"/>
      <c r="L45" s="8" t="n"/>
    </row>
    <row r="46">
      <c r="A46" s="5" t="n"/>
      <c r="B46" s="5" t="n"/>
      <c r="C46" s="5" t="n"/>
      <c r="D46" s="5" t="n"/>
      <c r="E46" s="5" t="n"/>
      <c r="F46" s="5" t="n"/>
      <c r="G46" s="8" t="n"/>
      <c r="H46" s="5" t="n"/>
      <c r="I46" s="5" t="n"/>
      <c r="J46" s="5" t="n"/>
      <c r="K46" s="5" t="n"/>
      <c r="L46" s="8" t="n"/>
    </row>
    <row r="47">
      <c r="A47" s="5" t="n"/>
      <c r="B47" s="5" t="n"/>
      <c r="C47" s="5" t="n"/>
      <c r="D47" s="5" t="n"/>
      <c r="E47" s="5" t="n"/>
      <c r="F47" s="5" t="n"/>
      <c r="G47" s="8" t="n"/>
      <c r="H47" s="5" t="n"/>
      <c r="I47" s="5" t="n"/>
      <c r="J47" s="5" t="n"/>
      <c r="K47" s="5" t="n"/>
      <c r="L47" s="8" t="n"/>
    </row>
    <row r="48">
      <c r="A48" s="5" t="n"/>
      <c r="B48" s="5" t="n"/>
      <c r="C48" s="5" t="n"/>
      <c r="D48" s="5" t="n"/>
      <c r="E48" s="5" t="n"/>
      <c r="F48" s="5" t="n"/>
      <c r="G48" s="8" t="n"/>
      <c r="H48" s="5" t="n"/>
      <c r="I48" s="5" t="n"/>
      <c r="J48" s="5" t="n"/>
      <c r="K48" s="5" t="n"/>
      <c r="L48" s="8" t="n"/>
    </row>
    <row r="49">
      <c r="A49" s="5" t="n"/>
      <c r="B49" s="5" t="n"/>
      <c r="C49" s="5" t="n"/>
      <c r="D49" s="5" t="n"/>
      <c r="E49" s="5" t="n"/>
      <c r="F49" s="5" t="n"/>
      <c r="G49" s="8" t="n"/>
      <c r="H49" s="5" t="n"/>
      <c r="I49" s="5" t="n"/>
      <c r="J49" s="5" t="n"/>
      <c r="K49" s="5" t="n"/>
      <c r="L49" s="8" t="n"/>
    </row>
    <row r="50">
      <c r="A50" s="5" t="n"/>
      <c r="B50" s="5" t="n"/>
      <c r="C50" s="5" t="n"/>
      <c r="D50" s="5" t="n"/>
      <c r="E50" s="5" t="n"/>
      <c r="F50" s="5" t="n"/>
      <c r="G50" s="8" t="n"/>
      <c r="H50" s="5" t="n"/>
      <c r="I50" s="5" t="n"/>
      <c r="J50" s="5" t="n"/>
      <c r="K50" s="5" t="n"/>
      <c r="L50" s="8" t="n"/>
    </row>
    <row r="51">
      <c r="A51" s="5" t="n"/>
      <c r="B51" s="5" t="n"/>
      <c r="C51" s="5" t="n"/>
      <c r="D51" s="5" t="n"/>
      <c r="E51" s="5" t="n"/>
      <c r="F51" s="5" t="n"/>
      <c r="G51" s="8" t="n"/>
      <c r="H51" s="5" t="n"/>
      <c r="I51" s="5" t="n"/>
      <c r="J51" s="5" t="n"/>
      <c r="K51" s="5" t="n"/>
      <c r="L51" s="8" t="n"/>
    </row>
    <row r="52">
      <c r="A52" s="5" t="n"/>
      <c r="B52" s="5" t="n"/>
      <c r="C52" s="5" t="n"/>
      <c r="D52" s="5" t="n"/>
      <c r="E52" s="5" t="n"/>
      <c r="F52" s="5" t="n"/>
      <c r="G52" s="8" t="n"/>
      <c r="H52" s="5" t="n"/>
      <c r="I52" s="5" t="n"/>
      <c r="J52" s="5" t="n"/>
      <c r="K52" s="5" t="n"/>
      <c r="L52" s="8" t="n"/>
    </row>
    <row r="53">
      <c r="A53" s="5" t="n"/>
      <c r="B53" s="5" t="n"/>
      <c r="C53" s="5" t="n"/>
      <c r="D53" s="5" t="n"/>
      <c r="E53" s="5" t="n"/>
      <c r="F53" s="5" t="n"/>
      <c r="G53" s="8" t="n"/>
      <c r="H53" s="5" t="n"/>
      <c r="I53" s="5" t="n"/>
      <c r="J53" s="5" t="n"/>
      <c r="K53" s="5" t="n"/>
      <c r="L53" s="8" t="n"/>
    </row>
    <row r="54">
      <c r="A54" s="5" t="n"/>
      <c r="B54" s="5" t="n"/>
      <c r="C54" s="5" t="n"/>
      <c r="D54" s="5" t="n"/>
      <c r="E54" s="5" t="n"/>
      <c r="F54" s="5" t="n"/>
      <c r="G54" s="8" t="n"/>
      <c r="H54" s="5" t="n"/>
      <c r="I54" s="5" t="n"/>
      <c r="J54" s="5" t="n"/>
      <c r="K54" s="5" t="n"/>
      <c r="L54" s="8" t="n"/>
    </row>
    <row r="55">
      <c r="A55" s="5" t="n"/>
      <c r="B55" s="5" t="n"/>
      <c r="C55" s="5" t="n"/>
      <c r="D55" s="5" t="n"/>
      <c r="E55" s="5" t="n"/>
      <c r="F55" s="5" t="n"/>
      <c r="G55" s="8" t="n"/>
      <c r="H55" s="5" t="n"/>
      <c r="I55" s="5" t="n"/>
      <c r="J55" s="5" t="n"/>
      <c r="K55" s="5" t="n"/>
      <c r="L55" s="8" t="n"/>
    </row>
    <row r="56">
      <c r="A56" s="5" t="n"/>
      <c r="B56" s="5" t="n"/>
      <c r="C56" s="5" t="n"/>
      <c r="D56" s="5" t="n"/>
      <c r="E56" s="5" t="n"/>
      <c r="F56" s="5" t="n"/>
      <c r="G56" s="8" t="n"/>
      <c r="H56" s="5" t="n"/>
      <c r="I56" s="5" t="n"/>
      <c r="J56" s="5" t="n"/>
      <c r="K56" s="5" t="n"/>
      <c r="L56" s="8" t="n"/>
    </row>
    <row r="57">
      <c r="A57" s="5" t="n"/>
      <c r="B57" s="5" t="n"/>
      <c r="C57" s="5" t="n"/>
      <c r="D57" s="5" t="n"/>
      <c r="E57" s="5" t="n"/>
      <c r="F57" s="5" t="n"/>
      <c r="G57" s="8" t="n"/>
      <c r="H57" s="5" t="n"/>
      <c r="I57" s="5" t="n"/>
      <c r="J57" s="5" t="n"/>
      <c r="K57" s="5" t="n"/>
      <c r="L57" s="8" t="n"/>
    </row>
    <row r="58">
      <c r="A58" s="5" t="n"/>
      <c r="B58" s="5" t="n"/>
      <c r="C58" s="5" t="n"/>
      <c r="D58" s="5" t="n"/>
      <c r="E58" s="5" t="n"/>
      <c r="F58" s="5" t="n"/>
      <c r="G58" s="8" t="n"/>
      <c r="H58" s="5" t="n"/>
      <c r="I58" s="5" t="n"/>
      <c r="J58" s="5" t="n"/>
      <c r="K58" s="5" t="n"/>
      <c r="L58" s="8" t="n"/>
    </row>
    <row r="59">
      <c r="A59" s="5" t="n"/>
      <c r="B59" s="5" t="n"/>
      <c r="C59" s="5" t="n"/>
      <c r="D59" s="5" t="n"/>
      <c r="E59" s="5" t="n"/>
      <c r="F59" s="5" t="n"/>
      <c r="G59" s="8" t="n"/>
      <c r="H59" s="5" t="n"/>
      <c r="I59" s="5" t="n"/>
      <c r="J59" s="5" t="n"/>
      <c r="K59" s="5" t="n"/>
      <c r="L59" s="8" t="n"/>
    </row>
    <row r="60">
      <c r="A60" s="5" t="n"/>
      <c r="B60" s="5" t="n"/>
      <c r="C60" s="5" t="n"/>
      <c r="D60" s="5" t="n"/>
      <c r="E60" s="5" t="n"/>
      <c r="F60" s="5" t="n"/>
      <c r="G60" s="8" t="n"/>
      <c r="H60" s="5" t="n"/>
      <c r="I60" s="5" t="n"/>
      <c r="J60" s="5" t="n"/>
      <c r="K60" s="5" t="n"/>
      <c r="L60" s="8" t="n"/>
    </row>
    <row r="61">
      <c r="G61" s="10" t="n"/>
      <c r="L61" s="10" t="n"/>
    </row>
    <row r="62">
      <c r="G62" s="10" t="n"/>
      <c r="L62" s="10" t="n"/>
    </row>
    <row r="63">
      <c r="G63" s="10" t="n"/>
      <c r="L63" s="10" t="n"/>
    </row>
    <row r="64">
      <c r="G64" s="10" t="n"/>
      <c r="L64" s="10" t="n"/>
    </row>
    <row r="65">
      <c r="G65" s="10" t="n"/>
      <c r="L65" s="10" t="n"/>
    </row>
    <row r="66">
      <c r="G66" s="10" t="n"/>
      <c r="L66" s="10" t="n"/>
    </row>
    <row r="67">
      <c r="G67" s="10" t="n"/>
      <c r="L67" s="10" t="n"/>
    </row>
    <row r="68">
      <c r="G68" s="10" t="n"/>
      <c r="L68" s="10" t="n"/>
    </row>
    <row r="69">
      <c r="G69" s="10" t="n"/>
      <c r="L69" s="10" t="n"/>
    </row>
    <row r="70">
      <c r="G70" s="10" t="n"/>
      <c r="L70" s="10" t="n"/>
    </row>
    <row r="71">
      <c r="G71" s="10" t="n"/>
      <c r="L71" s="10" t="n"/>
    </row>
    <row r="72">
      <c r="G72" s="10" t="n"/>
      <c r="L72" s="10" t="n"/>
    </row>
    <row r="73">
      <c r="G73" s="10" t="n"/>
      <c r="L73" s="10" t="n"/>
    </row>
    <row r="74">
      <c r="G74" s="10" t="n"/>
      <c r="L74" s="10" t="n"/>
    </row>
    <row r="75">
      <c r="G75" s="10" t="n"/>
      <c r="L75" s="10" t="n"/>
    </row>
    <row r="76">
      <c r="G76" s="10" t="n"/>
      <c r="L76" s="10" t="n"/>
    </row>
    <row r="77">
      <c r="G77" s="10" t="n"/>
      <c r="L77" s="10" t="n"/>
    </row>
    <row r="78">
      <c r="G78" s="10" t="n"/>
      <c r="L78" s="10" t="n"/>
    </row>
    <row r="79">
      <c r="G79" s="10" t="n"/>
      <c r="L79" s="10" t="n"/>
    </row>
    <row r="80">
      <c r="G80" s="10" t="n"/>
      <c r="L80" s="10" t="n"/>
    </row>
  </sheetData>
  <conditionalFormatting sqref="A3:L1000">
    <cfRule type="expression" priority="1" dxfId="0">
      <formula>AND($G3&lt;&gt;"",$G3&lt;TODAY(),$F3&lt;&gt;"Done")</formula>
    </cfRule>
    <cfRule type="expression" priority="2" dxfId="1">
      <formula>$F3="Blocked"</formula>
    </cfRule>
    <cfRule type="expression" priority="3" dxfId="2">
      <formula>$F3="Done"</formula>
    </cfRule>
  </conditionalFormatting>
  <conditionalFormatting sqref="L3:L1000">
    <cfRule type="expression" priority="4" dxfId="3">
      <formula>AND($L3&lt;&gt;"",$L3&lt;TODAY()-14,$F3&lt;&gt;"Done")</formula>
    </cfRule>
  </conditionalFormatting>
  <pageMargins left="0.75" right="0.75" top="1" bottom="1" header="0.5" footer="0.5"/>
</worksheet>
</file>

<file path=xl/worksheets/sheet4.xml><?xml version="1.0" encoding="utf-8"?>
<worksheet xmlns="http://schemas.openxmlformats.org/spreadsheetml/2006/main">
  <sheetPr>
    <tabColor rgb="000E3A2A"/>
    <outlinePr summaryBelow="1" summaryRight="1"/>
    <pageSetUpPr/>
  </sheetPr>
  <dimension ref="A1:K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20" customWidth="1" min="3" max="3"/>
    <col width="22" customWidth="1" min="4" max="4"/>
    <col width="13" customWidth="1" min="5" max="5"/>
    <col width="12" customWidth="1" min="6" max="6"/>
    <col width="48" customWidth="1" min="7" max="7"/>
    <col width="32" customWidth="1" min="8" max="8"/>
    <col width="22" customWidth="1" min="9" max="9"/>
    <col width="26" customWidth="1" min="10" max="10"/>
    <col width="13" customWidth="1" min="11" max="11"/>
  </cols>
  <sheetData>
    <row r="1" ht="26" customHeight="1">
      <c r="A1" s="9" t="inlineStr">
        <is>
          <t>Suhail</t>
        </is>
      </c>
      <c r="B1" s="2" t="inlineStr">
        <is>
          <t>Only Suhail and Suhail can edit this tab. One row per project; use the dropdowns.</t>
        </is>
      </c>
    </row>
    <row r="2" ht="30" customHeight="1">
      <c r="A2" s="6" t="inlineStr">
        <is>
          <t>Project</t>
        </is>
      </c>
      <c r="B2" s="6" t="inlineStr">
        <is>
          <t>Market</t>
        </is>
      </c>
      <c r="C2" s="6" t="inlineStr">
        <is>
          <t>Brand</t>
        </is>
      </c>
      <c r="D2" s="6" t="inlineStr">
        <is>
          <t>Stream</t>
        </is>
      </c>
      <c r="E2" s="6" t="inlineStr">
        <is>
          <t>Status</t>
        </is>
      </c>
      <c r="F2" s="6" t="inlineStr">
        <is>
          <t>Due date</t>
        </is>
      </c>
      <c r="G2" s="6" t="inlineStr">
        <is>
          <t>Latest update / next step</t>
        </is>
      </c>
      <c r="H2" s="6" t="inlineStr">
        <is>
          <t>Blocked on / need from Suhail</t>
        </is>
      </c>
      <c r="I2" s="6" t="inlineStr">
        <is>
          <t>Agency</t>
        </is>
      </c>
      <c r="J2" s="6" t="inlineStr">
        <is>
          <t>Link (brief, deck, folder)</t>
        </is>
      </c>
      <c r="K2" s="6" t="inlineStr">
        <is>
          <t>Last updated</t>
        </is>
      </c>
    </row>
    <row r="3">
      <c r="A3" s="5" t="inlineStr">
        <is>
          <t>Hobby Kenya Micro Dramas Shoot</t>
        </is>
      </c>
      <c r="B3" s="5" t="inlineStr">
        <is>
          <t>SSA</t>
        </is>
      </c>
      <c r="C3" s="5" t="inlineStr"/>
      <c r="D3" s="5" t="inlineStr"/>
      <c r="E3" s="5" t="inlineStr">
        <is>
          <t>In progress</t>
        </is>
      </c>
      <c r="F3" s="8" t="n">
        <v>46307</v>
      </c>
      <c r="G3" s="5" t="inlineStr">
        <is>
          <t>Storyboard First cut ready, Main Cast locked, Support cast WIP, Production location WIP, Agreement with creators WIP. PPM date to be locked. Travel Approvals to be taken and ready. Final Shoot date - 19, 21, 22, 23 (4 Day Shoot)</t>
        </is>
      </c>
      <c r="H3" s="5" t="inlineStr"/>
      <c r="I3" s="5" t="inlineStr">
        <is>
          <t>Creative Stitch</t>
        </is>
      </c>
      <c r="J3" s="5" t="inlineStr"/>
      <c r="K3" s="8" t="n">
        <v>46299</v>
      </c>
    </row>
    <row r="4">
      <c r="A4" s="5" t="inlineStr">
        <is>
          <t>Enhance digital marketing</t>
        </is>
      </c>
      <c r="B4" s="5" t="inlineStr"/>
      <c r="C4" s="5" t="inlineStr"/>
      <c r="D4" s="5" t="inlineStr">
        <is>
          <t>Big Bets</t>
        </is>
      </c>
      <c r="E4" s="5" t="inlineStr">
        <is>
          <t>Done</t>
        </is>
      </c>
      <c r="F4" s="8" t="n"/>
      <c r="G4" s="5" t="inlineStr"/>
      <c r="H4" s="5" t="inlineStr"/>
      <c r="I4" s="5" t="inlineStr"/>
      <c r="J4" s="5" t="inlineStr"/>
      <c r="K4" s="8" t="n">
        <v>46297</v>
      </c>
    </row>
    <row r="5">
      <c r="A5" s="5" t="inlineStr">
        <is>
          <t>Gemini / AI in the team's work</t>
        </is>
      </c>
      <c r="B5" s="5" t="inlineStr"/>
      <c r="C5" s="5" t="inlineStr"/>
      <c r="D5" s="5" t="inlineStr">
        <is>
          <t>AI Projects</t>
        </is>
      </c>
      <c r="E5" s="5" t="inlineStr">
        <is>
          <t>In progress</t>
        </is>
      </c>
      <c r="F5" s="8" t="n"/>
      <c r="G5" s="5" t="inlineStr"/>
      <c r="H5" s="5" t="inlineStr"/>
      <c r="I5" s="5" t="inlineStr"/>
      <c r="J5" s="5" t="inlineStr"/>
      <c r="K5" s="8" t="n">
        <v>46297</v>
      </c>
    </row>
    <row r="6">
      <c r="F6" s="10" t="n"/>
      <c r="K6" s="10" t="n"/>
    </row>
    <row r="7">
      <c r="F7" s="10" t="n"/>
      <c r="K7" s="10" t="n"/>
    </row>
    <row r="8">
      <c r="F8" s="10" t="n"/>
      <c r="K8" s="10" t="n"/>
    </row>
    <row r="9">
      <c r="F9" s="10" t="n"/>
      <c r="K9" s="10" t="n"/>
    </row>
    <row r="10">
      <c r="F10" s="10" t="n"/>
      <c r="K10" s="10" t="n"/>
    </row>
    <row r="11">
      <c r="F11" s="10" t="n"/>
      <c r="K11" s="10" t="n"/>
    </row>
    <row r="12">
      <c r="F12" s="10" t="n"/>
      <c r="K12" s="10" t="n"/>
    </row>
    <row r="13">
      <c r="F13" s="10" t="n"/>
      <c r="K13" s="10" t="n"/>
    </row>
    <row r="14">
      <c r="F14" s="10" t="n"/>
      <c r="K14" s="10" t="n"/>
    </row>
    <row r="15">
      <c r="F15" s="10" t="n"/>
      <c r="K15" s="10" t="n"/>
    </row>
    <row r="16">
      <c r="F16" s="10" t="n"/>
      <c r="K16" s="10" t="n"/>
    </row>
    <row r="17">
      <c r="F17" s="10" t="n"/>
      <c r="K17" s="10" t="n"/>
    </row>
    <row r="18">
      <c r="F18" s="10" t="n"/>
      <c r="K18" s="10" t="n"/>
    </row>
    <row r="19">
      <c r="F19" s="10" t="n"/>
      <c r="K19" s="10" t="n"/>
    </row>
    <row r="20">
      <c r="F20" s="10" t="n"/>
      <c r="K20" s="10" t="n"/>
    </row>
    <row r="21">
      <c r="F21" s="10" t="n"/>
      <c r="K21" s="10" t="n"/>
    </row>
    <row r="22">
      <c r="F22" s="10" t="n"/>
      <c r="K22" s="10" t="n"/>
    </row>
    <row r="23">
      <c r="F23" s="10" t="n"/>
      <c r="K23" s="10" t="n"/>
    </row>
    <row r="24">
      <c r="F24" s="10" t="n"/>
      <c r="K24" s="10" t="n"/>
    </row>
    <row r="25">
      <c r="F25" s="10" t="n"/>
      <c r="K25" s="10" t="n"/>
    </row>
    <row r="26">
      <c r="F26" s="10" t="n"/>
      <c r="K26" s="10" t="n"/>
    </row>
    <row r="27">
      <c r="F27" s="10" t="n"/>
      <c r="K27" s="10" t="n"/>
    </row>
    <row r="28">
      <c r="F28" s="10" t="n"/>
      <c r="K28" s="10" t="n"/>
    </row>
    <row r="29">
      <c r="F29" s="10" t="n"/>
      <c r="K29" s="10" t="n"/>
    </row>
    <row r="30">
      <c r="F30" s="10" t="n"/>
      <c r="K30" s="10" t="n"/>
    </row>
    <row r="31">
      <c r="F31" s="10" t="n"/>
      <c r="K31" s="10" t="n"/>
    </row>
    <row r="32">
      <c r="F32" s="10" t="n"/>
      <c r="K32" s="10" t="n"/>
    </row>
    <row r="33">
      <c r="F33" s="10" t="n"/>
      <c r="K33" s="10" t="n"/>
    </row>
    <row r="34">
      <c r="F34" s="10" t="n"/>
      <c r="K34" s="10" t="n"/>
    </row>
    <row r="35">
      <c r="F35" s="10" t="n"/>
      <c r="K35" s="10" t="n"/>
    </row>
    <row r="36">
      <c r="F36" s="10" t="n"/>
      <c r="K36" s="10" t="n"/>
    </row>
    <row r="37">
      <c r="F37" s="10" t="n"/>
      <c r="K37" s="10" t="n"/>
    </row>
    <row r="38">
      <c r="F38" s="10" t="n"/>
      <c r="K38" s="10" t="n"/>
    </row>
    <row r="39">
      <c r="F39" s="10" t="n"/>
      <c r="K39" s="10" t="n"/>
    </row>
    <row r="40">
      <c r="F40" s="10" t="n"/>
      <c r="K40" s="10" t="n"/>
    </row>
    <row r="41">
      <c r="F41" s="10" t="n"/>
      <c r="K41" s="10" t="n"/>
    </row>
    <row r="42">
      <c r="F42" s="10" t="n"/>
      <c r="K42" s="10" t="n"/>
    </row>
    <row r="43">
      <c r="F43" s="10" t="n"/>
      <c r="K43" s="10" t="n"/>
    </row>
    <row r="44">
      <c r="F44" s="10" t="n"/>
      <c r="K44" s="10" t="n"/>
    </row>
    <row r="45">
      <c r="F45" s="10" t="n"/>
      <c r="K45" s="10" t="n"/>
    </row>
    <row r="46">
      <c r="F46" s="10" t="n"/>
      <c r="K46" s="10" t="n"/>
    </row>
    <row r="47">
      <c r="F47" s="10" t="n"/>
      <c r="K47" s="10" t="n"/>
    </row>
    <row r="48">
      <c r="F48" s="10" t="n"/>
      <c r="K48" s="10" t="n"/>
    </row>
    <row r="49">
      <c r="F49" s="10" t="n"/>
      <c r="K49" s="10" t="n"/>
    </row>
    <row r="50">
      <c r="F50" s="10" t="n"/>
      <c r="K50" s="10" t="n"/>
    </row>
    <row r="51">
      <c r="F51" s="10" t="n"/>
      <c r="K51" s="10" t="n"/>
    </row>
    <row r="52">
      <c r="F52" s="10" t="n"/>
      <c r="K52" s="10" t="n"/>
    </row>
    <row r="53">
      <c r="F53" s="10" t="n"/>
      <c r="K53" s="10" t="n"/>
    </row>
    <row r="54">
      <c r="F54" s="10" t="n"/>
      <c r="K54" s="10" t="n"/>
    </row>
    <row r="55">
      <c r="F55" s="10" t="n"/>
      <c r="K55" s="10" t="n"/>
    </row>
    <row r="56">
      <c r="F56" s="10" t="n"/>
      <c r="K56" s="10" t="n"/>
    </row>
    <row r="57">
      <c r="F57" s="10" t="n"/>
      <c r="K57" s="10" t="n"/>
    </row>
    <row r="58">
      <c r="F58" s="10" t="n"/>
      <c r="K58" s="10" t="n"/>
    </row>
    <row r="59">
      <c r="F59" s="10" t="n"/>
      <c r="K59" s="10" t="n"/>
    </row>
    <row r="60">
      <c r="F60" s="10" t="n"/>
      <c r="K60" s="10" t="n"/>
    </row>
  </sheetData>
  <mergeCells count="1">
    <mergeCell ref="B1:K1"/>
  </mergeCells>
  <conditionalFormatting sqref="A3:K1000">
    <cfRule type="expression" priority="1" dxfId="0">
      <formula>AND($F3&lt;&gt;"",$F3&lt;TODAY(),$E3&lt;&gt;"Done")</formula>
    </cfRule>
    <cfRule type="expression" priority="2" dxfId="1">
      <formula>$E3="Blocked"</formula>
    </cfRule>
    <cfRule type="expression" priority="3" dxfId="2">
      <formula>$E3="Done"</formula>
    </cfRule>
  </conditionalFormatting>
  <conditionalFormatting sqref="K3:K1000">
    <cfRule type="expression" priority="4" dxfId="3">
      <formula>AND($K3&lt;&gt;"",$K3&lt;TODAY()-14,$E3&lt;&gt;"Done")</formula>
    </cfRule>
  </conditionalFormatting>
  <dataValidations count="7">
    <dataValidation sqref="B3:B1000" showDropDown="0" showInputMessage="0" showErrorMessage="0" allowBlank="1" type="list">
      <formula1>Lists!$A$2:$A$30</formula1>
    </dataValidation>
    <dataValidation sqref="C3:C1000" showDropDown="0" showInputMessage="0" showErrorMessage="0" allowBlank="1" type="list">
      <formula1>Lists!$B$2:$B$200</formula1>
    </dataValidation>
    <dataValidation sqref="D3:D1000" showDropDown="0" showInputMessage="0" showErrorMessage="1" allowBlank="1" errorTitle="Not on the list" error="Pick a value from the list." type="list">
      <formula1>Lists!$C$2:$C$30</formula1>
    </dataValidation>
    <dataValidation sqref="E3:E1000" showDropDown="0" showInputMessage="0" showErrorMessage="1" allowBlank="1" errorTitle="Not on the list" error="Pick a value from the list." type="list">
      <formula1>Lists!$D$2:$D$10</formula1>
    </dataValidation>
    <dataValidation sqref="I3:I1000" showDropDown="0" showInputMessage="0" showErrorMessage="0" allowBlank="1" type="list">
      <formula1>Lists!$E$2:$E$60</formula1>
    </dataValidation>
    <dataValidation sqref="F3:F1000" showDropDown="0" showInputMessage="0" showErrorMessage="1" allowBlank="1" errorTitle="Date" error="Enter a date, for example 30 Oct 2026." type="date" operator="greaterThan">
      <formula1>DATE(2020,1,1)</formula1>
    </dataValidation>
    <dataValidation sqref="K3:K1000" showDropDown="0" showInputMessage="0" showErrorMessage="1" allowBlank="1" errorTitle="Date" error="Enter a date, for example 30 Oct 2026."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B8601A"/>
    <outlinePr summaryBelow="1" summaryRight="1"/>
    <pageSetUpPr/>
  </sheetPr>
  <dimension ref="A1:K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20" customWidth="1" min="3" max="3"/>
    <col width="22" customWidth="1" min="4" max="4"/>
    <col width="13" customWidth="1" min="5" max="5"/>
    <col width="12" customWidth="1" min="6" max="6"/>
    <col width="48" customWidth="1" min="7" max="7"/>
    <col width="32" customWidth="1" min="8" max="8"/>
    <col width="22" customWidth="1" min="9" max="9"/>
    <col width="26" customWidth="1" min="10" max="10"/>
    <col width="13" customWidth="1" min="11" max="11"/>
  </cols>
  <sheetData>
    <row r="1" ht="26" customHeight="1">
      <c r="A1" s="9" t="inlineStr">
        <is>
          <t>Nour</t>
        </is>
      </c>
      <c r="B1" s="2" t="inlineStr">
        <is>
          <t>Only Nour and Suhail can edit this tab. One row per project; use the dropdowns.</t>
        </is>
      </c>
    </row>
    <row r="2" ht="30" customHeight="1">
      <c r="A2" s="6" t="inlineStr">
        <is>
          <t>Project</t>
        </is>
      </c>
      <c r="B2" s="6" t="inlineStr">
        <is>
          <t>Market</t>
        </is>
      </c>
      <c r="C2" s="6" t="inlineStr">
        <is>
          <t>Brand</t>
        </is>
      </c>
      <c r="D2" s="6" t="inlineStr">
        <is>
          <t>Stream</t>
        </is>
      </c>
      <c r="E2" s="6" t="inlineStr">
        <is>
          <t>Status</t>
        </is>
      </c>
      <c r="F2" s="6" t="inlineStr">
        <is>
          <t>Due date</t>
        </is>
      </c>
      <c r="G2" s="6" t="inlineStr">
        <is>
          <t>Latest update / next step</t>
        </is>
      </c>
      <c r="H2" s="6" t="inlineStr">
        <is>
          <t>Blocked on / need from Suhail</t>
        </is>
      </c>
      <c r="I2" s="6" t="inlineStr">
        <is>
          <t>Agency</t>
        </is>
      </c>
      <c r="J2" s="6" t="inlineStr">
        <is>
          <t>Link (brief, deck, folder)</t>
        </is>
      </c>
      <c r="K2" s="6" t="inlineStr">
        <is>
          <t>Last updated</t>
        </is>
      </c>
    </row>
    <row r="3">
      <c r="A3" s="5" t="inlineStr">
        <is>
          <t>100k Giveaway Influencer  Iraq, Jordan</t>
        </is>
      </c>
      <c r="B3" s="5" t="inlineStr">
        <is>
          <t>MENA</t>
        </is>
      </c>
      <c r="C3" s="5" t="inlineStr"/>
      <c r="D3" s="5" t="inlineStr">
        <is>
          <t>Influencer Marketing</t>
        </is>
      </c>
      <c r="E3" s="5" t="inlineStr">
        <is>
          <t>In progress</t>
        </is>
      </c>
      <c r="F3" s="8" t="n">
        <v>46316</v>
      </c>
      <c r="G3" s="5" t="inlineStr"/>
      <c r="H3" s="5" t="inlineStr"/>
      <c r="I3" s="5" t="inlineStr">
        <is>
          <t>Sagerlabs</t>
        </is>
      </c>
      <c r="J3" s="5" t="inlineStr"/>
      <c r="K3" s="8" t="n">
        <v>46299</v>
      </c>
    </row>
    <row r="4">
      <c r="A4" s="5" t="inlineStr">
        <is>
          <t>Iraq Mega Influencers Campaign (EHO+ SHAMPOO)</t>
        </is>
      </c>
      <c r="B4" s="5" t="inlineStr">
        <is>
          <t>MENA</t>
        </is>
      </c>
      <c r="C4" s="5" t="inlineStr">
        <is>
          <t>Vatika</t>
        </is>
      </c>
      <c r="D4" s="5" t="inlineStr">
        <is>
          <t>Influencer Marketing</t>
        </is>
      </c>
      <c r="E4" s="5" t="inlineStr">
        <is>
          <t>Not started</t>
        </is>
      </c>
      <c r="F4" s="8" t="n">
        <v>46325</v>
      </c>
      <c r="G4" s="5" t="inlineStr">
        <is>
          <t>Influencer to receive the products</t>
        </is>
      </c>
      <c r="H4" s="5" t="inlineStr"/>
      <c r="I4" s="5" t="inlineStr"/>
      <c r="J4" s="5" t="inlineStr"/>
      <c r="K4" s="8" t="n">
        <v>46302</v>
      </c>
    </row>
    <row r="5">
      <c r="A5" s="5" t="inlineStr">
        <is>
          <t>KSA BULK DEAL - BODYWASH</t>
        </is>
      </c>
      <c r="B5" s="5" t="inlineStr">
        <is>
          <t>MENA</t>
        </is>
      </c>
      <c r="C5" s="5" t="inlineStr">
        <is>
          <t>Vatika Bodywash</t>
        </is>
      </c>
      <c r="D5" s="5" t="inlineStr">
        <is>
          <t>Influencer Marketing</t>
        </is>
      </c>
      <c r="E5" s="5" t="inlineStr">
        <is>
          <t>In progress</t>
        </is>
      </c>
      <c r="F5" s="8" t="n">
        <v>46325</v>
      </c>
      <c r="G5" s="5" t="inlineStr">
        <is>
          <t>Reviewing the videos and adding feedback</t>
        </is>
      </c>
      <c r="H5" s="5" t="inlineStr"/>
      <c r="I5" s="5" t="inlineStr"/>
      <c r="J5" s="5" t="inlineStr"/>
      <c r="K5" s="8" t="n">
        <v>46302</v>
      </c>
    </row>
    <row r="6">
      <c r="A6" s="5" t="inlineStr">
        <is>
          <t>KSA HOBBY STORE VISIT</t>
        </is>
      </c>
      <c r="B6" s="5" t="inlineStr">
        <is>
          <t>MENA</t>
        </is>
      </c>
      <c r="C6" s="5" t="inlineStr">
        <is>
          <t>Hobby</t>
        </is>
      </c>
      <c r="D6" s="5" t="inlineStr">
        <is>
          <t>Influencer Marketing</t>
        </is>
      </c>
      <c r="E6" s="5" t="inlineStr">
        <is>
          <t>In progress</t>
        </is>
      </c>
      <c r="F6" s="8" t="n">
        <v>46325</v>
      </c>
      <c r="G6" s="5" t="inlineStr"/>
      <c r="H6" s="5" t="inlineStr"/>
      <c r="I6" s="5" t="inlineStr"/>
      <c r="J6" s="5" t="inlineStr"/>
      <c r="K6" s="8" t="n">
        <v>46302</v>
      </c>
    </row>
    <row r="7">
      <c r="A7" s="5" t="inlineStr">
        <is>
          <t>MOROCCO - MISWAK BULK DEAL</t>
        </is>
      </c>
      <c r="B7" s="5" t="inlineStr">
        <is>
          <t>MENA</t>
        </is>
      </c>
      <c r="C7" s="5" t="inlineStr">
        <is>
          <t>Dabur Miswak</t>
        </is>
      </c>
      <c r="D7" s="5" t="inlineStr">
        <is>
          <t>Influencer Marketing</t>
        </is>
      </c>
      <c r="E7" s="5" t="inlineStr">
        <is>
          <t>In progress</t>
        </is>
      </c>
      <c r="F7" s="8" t="n">
        <v>46325</v>
      </c>
      <c r="G7" s="5" t="inlineStr"/>
      <c r="H7" s="5" t="inlineStr"/>
      <c r="I7" s="5" t="inlineStr"/>
      <c r="J7" s="5" t="inlineStr"/>
      <c r="K7" s="8" t="n">
        <v>46302</v>
      </c>
    </row>
    <row r="8">
      <c r="A8" s="5" t="inlineStr">
        <is>
          <t>SWAVY - WOWTIKA</t>
        </is>
      </c>
      <c r="B8" s="5" t="inlineStr">
        <is>
          <t>MENA</t>
        </is>
      </c>
      <c r="C8" s="5" t="inlineStr">
        <is>
          <t>Multi-brand</t>
        </is>
      </c>
      <c r="D8" s="5" t="inlineStr">
        <is>
          <t>Influencer Marketing</t>
        </is>
      </c>
      <c r="E8" s="5" t="inlineStr">
        <is>
          <t>In progress</t>
        </is>
      </c>
      <c r="F8" s="8" t="n">
        <v>46325</v>
      </c>
      <c r="G8" s="5" t="inlineStr"/>
      <c r="H8" s="5" t="inlineStr"/>
      <c r="I8" s="5" t="inlineStr"/>
      <c r="J8" s="5" t="inlineStr"/>
      <c r="K8" s="8" t="n">
        <v>46302</v>
      </c>
    </row>
    <row r="9">
      <c r="A9" s="5" t="inlineStr">
        <is>
          <t>Vatika Bodywash Cafe Collab</t>
        </is>
      </c>
      <c r="B9" s="5" t="inlineStr">
        <is>
          <t>MENA</t>
        </is>
      </c>
      <c r="C9" s="5" t="inlineStr"/>
      <c r="D9" s="5" t="inlineStr">
        <is>
          <t>Digital Activations</t>
        </is>
      </c>
      <c r="E9" s="5" t="inlineStr">
        <is>
          <t>In progress</t>
        </is>
      </c>
      <c r="F9" s="8" t="n">
        <v>46356</v>
      </c>
      <c r="G9" s="5" t="inlineStr"/>
      <c r="H9" s="5" t="inlineStr"/>
      <c r="I9" s="5" t="inlineStr">
        <is>
          <t>Anphonic</t>
        </is>
      </c>
      <c r="J9" s="5" t="inlineStr"/>
      <c r="K9" s="8" t="n">
        <v>46299</v>
      </c>
    </row>
    <row r="10">
      <c r="A10" s="5" t="inlineStr">
        <is>
          <t>THE VATIKA HOUSE</t>
        </is>
      </c>
      <c r="B10" s="5" t="inlineStr">
        <is>
          <t>MENA</t>
        </is>
      </c>
      <c r="C10" s="5" t="inlineStr">
        <is>
          <t>Multi-brand</t>
        </is>
      </c>
      <c r="D10" s="5" t="inlineStr">
        <is>
          <t>Big Bets</t>
        </is>
      </c>
      <c r="E10" s="5" t="inlineStr">
        <is>
          <t>In progress</t>
        </is>
      </c>
      <c r="F10" s="8" t="n">
        <v>46419</v>
      </c>
      <c r="G10" s="5" t="inlineStr"/>
      <c r="H10" s="5" t="inlineStr"/>
      <c r="I10" s="5" t="inlineStr"/>
      <c r="J10" s="5" t="inlineStr"/>
      <c r="K10" s="8" t="n">
        <v>46302</v>
      </c>
    </row>
    <row r="11">
      <c r="A11" s="5" t="inlineStr">
        <is>
          <t>INTERN ROOM REVAMP</t>
        </is>
      </c>
      <c r="B11" s="5" t="inlineStr"/>
      <c r="C11" s="5" t="inlineStr"/>
      <c r="D11" s="5" t="inlineStr"/>
      <c r="E11" s="5" t="inlineStr">
        <is>
          <t>In progress</t>
        </is>
      </c>
      <c r="F11" s="8" t="n"/>
      <c r="G11" s="5" t="inlineStr"/>
      <c r="H11" s="5" t="inlineStr"/>
      <c r="I11" s="5" t="inlineStr"/>
      <c r="J11" s="5" t="inlineStr"/>
      <c r="K11" s="8" t="n">
        <v>46302</v>
      </c>
    </row>
    <row r="12">
      <c r="F12" s="10" t="n"/>
      <c r="K12" s="10" t="n"/>
    </row>
    <row r="13">
      <c r="F13" s="10" t="n"/>
      <c r="K13" s="10" t="n"/>
    </row>
    <row r="14">
      <c r="F14" s="10" t="n"/>
      <c r="K14" s="10" t="n"/>
    </row>
    <row r="15">
      <c r="F15" s="10" t="n"/>
      <c r="K15" s="10" t="n"/>
    </row>
    <row r="16">
      <c r="F16" s="10" t="n"/>
      <c r="K16" s="10" t="n"/>
    </row>
    <row r="17">
      <c r="F17" s="10" t="n"/>
      <c r="K17" s="10" t="n"/>
    </row>
    <row r="18">
      <c r="F18" s="10" t="n"/>
      <c r="K18" s="10" t="n"/>
    </row>
    <row r="19">
      <c r="F19" s="10" t="n"/>
      <c r="K19" s="10" t="n"/>
    </row>
    <row r="20">
      <c r="F20" s="10" t="n"/>
      <c r="K20" s="10" t="n"/>
    </row>
    <row r="21">
      <c r="F21" s="10" t="n"/>
      <c r="K21" s="10" t="n"/>
    </row>
    <row r="22">
      <c r="F22" s="10" t="n"/>
      <c r="K22" s="10" t="n"/>
    </row>
    <row r="23">
      <c r="F23" s="10" t="n"/>
      <c r="K23" s="10" t="n"/>
    </row>
    <row r="24">
      <c r="F24" s="10" t="n"/>
      <c r="K24" s="10" t="n"/>
    </row>
    <row r="25">
      <c r="F25" s="10" t="n"/>
      <c r="K25" s="10" t="n"/>
    </row>
    <row r="26">
      <c r="F26" s="10" t="n"/>
      <c r="K26" s="10" t="n"/>
    </row>
    <row r="27">
      <c r="F27" s="10" t="n"/>
      <c r="K27" s="10" t="n"/>
    </row>
    <row r="28">
      <c r="F28" s="10" t="n"/>
      <c r="K28" s="10" t="n"/>
    </row>
    <row r="29">
      <c r="F29" s="10" t="n"/>
      <c r="K29" s="10" t="n"/>
    </row>
    <row r="30">
      <c r="F30" s="10" t="n"/>
      <c r="K30" s="10" t="n"/>
    </row>
    <row r="31">
      <c r="F31" s="10" t="n"/>
      <c r="K31" s="10" t="n"/>
    </row>
    <row r="32">
      <c r="F32" s="10" t="n"/>
      <c r="K32" s="10" t="n"/>
    </row>
    <row r="33">
      <c r="F33" s="10" t="n"/>
      <c r="K33" s="10" t="n"/>
    </row>
    <row r="34">
      <c r="F34" s="10" t="n"/>
      <c r="K34" s="10" t="n"/>
    </row>
    <row r="35">
      <c r="F35" s="10" t="n"/>
      <c r="K35" s="10" t="n"/>
    </row>
    <row r="36">
      <c r="F36" s="10" t="n"/>
      <c r="K36" s="10" t="n"/>
    </row>
    <row r="37">
      <c r="F37" s="10" t="n"/>
      <c r="K37" s="10" t="n"/>
    </row>
    <row r="38">
      <c r="F38" s="10" t="n"/>
      <c r="K38" s="10" t="n"/>
    </row>
    <row r="39">
      <c r="F39" s="10" t="n"/>
      <c r="K39" s="10" t="n"/>
    </row>
    <row r="40">
      <c r="F40" s="10" t="n"/>
      <c r="K40" s="10" t="n"/>
    </row>
    <row r="41">
      <c r="F41" s="10" t="n"/>
      <c r="K41" s="10" t="n"/>
    </row>
    <row r="42">
      <c r="F42" s="10" t="n"/>
      <c r="K42" s="10" t="n"/>
    </row>
    <row r="43">
      <c r="F43" s="10" t="n"/>
      <c r="K43" s="10" t="n"/>
    </row>
    <row r="44">
      <c r="F44" s="10" t="n"/>
      <c r="K44" s="10" t="n"/>
    </row>
    <row r="45">
      <c r="F45" s="10" t="n"/>
      <c r="K45" s="10" t="n"/>
    </row>
    <row r="46">
      <c r="F46" s="10" t="n"/>
      <c r="K46" s="10" t="n"/>
    </row>
    <row r="47">
      <c r="F47" s="10" t="n"/>
      <c r="K47" s="10" t="n"/>
    </row>
    <row r="48">
      <c r="F48" s="10" t="n"/>
      <c r="K48" s="10" t="n"/>
    </row>
    <row r="49">
      <c r="F49" s="10" t="n"/>
      <c r="K49" s="10" t="n"/>
    </row>
    <row r="50">
      <c r="F50" s="10" t="n"/>
      <c r="K50" s="10" t="n"/>
    </row>
    <row r="51">
      <c r="F51" s="10" t="n"/>
      <c r="K51" s="10" t="n"/>
    </row>
    <row r="52">
      <c r="F52" s="10" t="n"/>
      <c r="K52" s="10" t="n"/>
    </row>
    <row r="53">
      <c r="F53" s="10" t="n"/>
      <c r="K53" s="10" t="n"/>
    </row>
    <row r="54">
      <c r="F54" s="10" t="n"/>
      <c r="K54" s="10" t="n"/>
    </row>
    <row r="55">
      <c r="F55" s="10" t="n"/>
      <c r="K55" s="10" t="n"/>
    </row>
    <row r="56">
      <c r="F56" s="10" t="n"/>
      <c r="K56" s="10" t="n"/>
    </row>
    <row r="57">
      <c r="F57" s="10" t="n"/>
      <c r="K57" s="10" t="n"/>
    </row>
    <row r="58">
      <c r="F58" s="10" t="n"/>
      <c r="K58" s="10" t="n"/>
    </row>
    <row r="59">
      <c r="F59" s="10" t="n"/>
      <c r="K59" s="10" t="n"/>
    </row>
    <row r="60">
      <c r="F60" s="10" t="n"/>
      <c r="K60" s="10" t="n"/>
    </row>
  </sheetData>
  <mergeCells count="1">
    <mergeCell ref="B1:K1"/>
  </mergeCells>
  <conditionalFormatting sqref="A3:K1000">
    <cfRule type="expression" priority="1" dxfId="0">
      <formula>AND($F3&lt;&gt;"",$F3&lt;TODAY(),$E3&lt;&gt;"Done")</formula>
    </cfRule>
    <cfRule type="expression" priority="2" dxfId="1">
      <formula>$E3="Blocked"</formula>
    </cfRule>
    <cfRule type="expression" priority="3" dxfId="2">
      <formula>$E3="Done"</formula>
    </cfRule>
  </conditionalFormatting>
  <conditionalFormatting sqref="K3:K1000">
    <cfRule type="expression" priority="4" dxfId="3">
      <formula>AND($K3&lt;&gt;"",$K3&lt;TODAY()-14,$E3&lt;&gt;"Done")</formula>
    </cfRule>
  </conditionalFormatting>
  <dataValidations count="7">
    <dataValidation sqref="B3:B1000" showDropDown="0" showInputMessage="0" showErrorMessage="0" allowBlank="1" type="list">
      <formula1>Lists!$A$2:$A$30</formula1>
    </dataValidation>
    <dataValidation sqref="C3:C1000" showDropDown="0" showInputMessage="0" showErrorMessage="0" allowBlank="1" type="list">
      <formula1>Lists!$B$2:$B$200</formula1>
    </dataValidation>
    <dataValidation sqref="D3:D1000" showDropDown="0" showInputMessage="0" showErrorMessage="1" allowBlank="1" errorTitle="Not on the list" error="Pick a value from the list." type="list">
      <formula1>Lists!$C$2:$C$30</formula1>
    </dataValidation>
    <dataValidation sqref="E3:E1000" showDropDown="0" showInputMessage="0" showErrorMessage="1" allowBlank="1" errorTitle="Not on the list" error="Pick a value from the list." type="list">
      <formula1>Lists!$D$2:$D$10</formula1>
    </dataValidation>
    <dataValidation sqref="I3:I1000" showDropDown="0" showInputMessage="0" showErrorMessage="0" allowBlank="1" type="list">
      <formula1>Lists!$E$2:$E$60</formula1>
    </dataValidation>
    <dataValidation sqref="F3:F1000" showDropDown="0" showInputMessage="0" showErrorMessage="1" allowBlank="1" errorTitle="Date" error="Enter a date, for example 30 Oct 2026." type="date" operator="greaterThan">
      <formula1>DATE(2020,1,1)</formula1>
    </dataValidation>
    <dataValidation sqref="K3:K1000" showDropDown="0" showInputMessage="0" showErrorMessage="1" allowBlank="1" errorTitle="Date" error="Enter a date, for example 30 Oct 2026."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B7D7A"/>
    <outlinePr summaryBelow="1" summaryRight="1"/>
    <pageSetUpPr/>
  </sheetPr>
  <dimension ref="A1:K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20" customWidth="1" min="3" max="3"/>
    <col width="22" customWidth="1" min="4" max="4"/>
    <col width="13" customWidth="1" min="5" max="5"/>
    <col width="12" customWidth="1" min="6" max="6"/>
    <col width="48" customWidth="1" min="7" max="7"/>
    <col width="32" customWidth="1" min="8" max="8"/>
    <col width="22" customWidth="1" min="9" max="9"/>
    <col width="26" customWidth="1" min="10" max="10"/>
    <col width="13" customWidth="1" min="11" max="11"/>
  </cols>
  <sheetData>
    <row r="1" ht="26" customHeight="1">
      <c r="A1" s="9" t="inlineStr">
        <is>
          <t>Sanya</t>
        </is>
      </c>
      <c r="B1" s="2" t="inlineStr">
        <is>
          <t>Only Sanya and Suhail can edit this tab. One row per project; use the dropdowns.</t>
        </is>
      </c>
    </row>
    <row r="2" ht="30" customHeight="1">
      <c r="A2" s="6" t="inlineStr">
        <is>
          <t>Project</t>
        </is>
      </c>
      <c r="B2" s="6" t="inlineStr">
        <is>
          <t>Market</t>
        </is>
      </c>
      <c r="C2" s="6" t="inlineStr">
        <is>
          <t>Brand</t>
        </is>
      </c>
      <c r="D2" s="6" t="inlineStr">
        <is>
          <t>Stream</t>
        </is>
      </c>
      <c r="E2" s="6" t="inlineStr">
        <is>
          <t>Status</t>
        </is>
      </c>
      <c r="F2" s="6" t="inlineStr">
        <is>
          <t>Due date</t>
        </is>
      </c>
      <c r="G2" s="6" t="inlineStr">
        <is>
          <t>Latest update / next step</t>
        </is>
      </c>
      <c r="H2" s="6" t="inlineStr">
        <is>
          <t>Blocked on / need from Suhail</t>
        </is>
      </c>
      <c r="I2" s="6" t="inlineStr">
        <is>
          <t>Agency</t>
        </is>
      </c>
      <c r="J2" s="6" t="inlineStr">
        <is>
          <t>Link (brief, deck, folder)</t>
        </is>
      </c>
      <c r="K2" s="6" t="inlineStr">
        <is>
          <t>Last updated</t>
        </is>
      </c>
    </row>
    <row r="3">
      <c r="A3" s="5" t="inlineStr">
        <is>
          <t>100K Giveaway Social Creative</t>
        </is>
      </c>
      <c r="B3" s="5" t="inlineStr">
        <is>
          <t>MENA</t>
        </is>
      </c>
      <c r="C3" s="5" t="inlineStr"/>
      <c r="D3" s="5" t="inlineStr">
        <is>
          <t>Social Media Management</t>
        </is>
      </c>
      <c r="E3" s="5" t="inlineStr">
        <is>
          <t>In progress</t>
        </is>
      </c>
      <c r="F3" s="8" t="n">
        <v>46300</v>
      </c>
      <c r="G3" s="5" t="inlineStr"/>
      <c r="H3" s="5" t="inlineStr"/>
      <c r="I3" s="5" t="inlineStr">
        <is>
          <t>Saturday Communication</t>
        </is>
      </c>
      <c r="J3" s="5" t="inlineStr"/>
      <c r="K3" s="8" t="n">
        <v>46302</v>
      </c>
    </row>
    <row r="4">
      <c r="A4" s="5" t="inlineStr">
        <is>
          <t>100K Giveaway Infl UAE, KSA, North Africa</t>
        </is>
      </c>
      <c r="B4" s="5" t="inlineStr">
        <is>
          <t>MENA</t>
        </is>
      </c>
      <c r="C4" s="5" t="inlineStr"/>
      <c r="D4" s="5" t="inlineStr">
        <is>
          <t>Influencer Marketing</t>
        </is>
      </c>
      <c r="E4" s="5" t="inlineStr">
        <is>
          <t>In progress</t>
        </is>
      </c>
      <c r="F4" s="8" t="n"/>
      <c r="G4" s="5" t="inlineStr"/>
      <c r="H4" s="5" t="inlineStr"/>
      <c r="I4" s="5" t="inlineStr">
        <is>
          <t>Anphonic</t>
        </is>
      </c>
      <c r="J4" s="5" t="inlineStr"/>
      <c r="K4" s="8" t="n">
        <v>46299</v>
      </c>
    </row>
    <row r="5">
      <c r="A5" s="5" t="inlineStr">
        <is>
          <t>100k Giveaway Infl Kuwait</t>
        </is>
      </c>
      <c r="B5" s="5" t="inlineStr">
        <is>
          <t>MENA</t>
        </is>
      </c>
      <c r="C5" s="5" t="inlineStr"/>
      <c r="D5" s="5" t="inlineStr"/>
      <c r="E5" s="5" t="inlineStr">
        <is>
          <t>In progress</t>
        </is>
      </c>
      <c r="F5" s="8" t="n"/>
      <c r="G5" s="5" t="inlineStr"/>
      <c r="H5" s="5" t="inlineStr"/>
      <c r="I5" s="5" t="inlineStr">
        <is>
          <t>Ghost Agency</t>
        </is>
      </c>
      <c r="J5" s="5" t="inlineStr"/>
      <c r="K5" s="8" t="n">
        <v>46299</v>
      </c>
    </row>
    <row r="6">
      <c r="F6" s="10" t="n"/>
      <c r="K6" s="10" t="n"/>
    </row>
    <row r="7">
      <c r="F7" s="10" t="n"/>
      <c r="K7" s="10" t="n"/>
    </row>
    <row r="8">
      <c r="F8" s="10" t="n"/>
      <c r="K8" s="10" t="n"/>
    </row>
    <row r="9">
      <c r="F9" s="10" t="n"/>
      <c r="K9" s="10" t="n"/>
    </row>
    <row r="10">
      <c r="F10" s="10" t="n"/>
      <c r="K10" s="10" t="n"/>
    </row>
    <row r="11">
      <c r="F11" s="10" t="n"/>
      <c r="K11" s="10" t="n"/>
    </row>
    <row r="12">
      <c r="F12" s="10" t="n"/>
      <c r="K12" s="10" t="n"/>
    </row>
    <row r="13">
      <c r="F13" s="10" t="n"/>
      <c r="K13" s="10" t="n"/>
    </row>
    <row r="14">
      <c r="F14" s="10" t="n"/>
      <c r="K14" s="10" t="n"/>
    </row>
    <row r="15">
      <c r="F15" s="10" t="n"/>
      <c r="K15" s="10" t="n"/>
    </row>
    <row r="16">
      <c r="F16" s="10" t="n"/>
      <c r="K16" s="10" t="n"/>
    </row>
    <row r="17">
      <c r="F17" s="10" t="n"/>
      <c r="K17" s="10" t="n"/>
    </row>
    <row r="18">
      <c r="F18" s="10" t="n"/>
      <c r="K18" s="10" t="n"/>
    </row>
    <row r="19">
      <c r="F19" s="10" t="n"/>
      <c r="K19" s="10" t="n"/>
    </row>
    <row r="20">
      <c r="F20" s="10" t="n"/>
      <c r="K20" s="10" t="n"/>
    </row>
    <row r="21">
      <c r="F21" s="10" t="n"/>
      <c r="K21" s="10" t="n"/>
    </row>
    <row r="22">
      <c r="F22" s="10" t="n"/>
      <c r="K22" s="10" t="n"/>
    </row>
    <row r="23">
      <c r="F23" s="10" t="n"/>
      <c r="K23" s="10" t="n"/>
    </row>
    <row r="24">
      <c r="F24" s="10" t="n"/>
      <c r="K24" s="10" t="n"/>
    </row>
    <row r="25">
      <c r="F25" s="10" t="n"/>
      <c r="K25" s="10" t="n"/>
    </row>
    <row r="26">
      <c r="F26" s="10" t="n"/>
      <c r="K26" s="10" t="n"/>
    </row>
    <row r="27">
      <c r="F27" s="10" t="n"/>
      <c r="K27" s="10" t="n"/>
    </row>
    <row r="28">
      <c r="F28" s="10" t="n"/>
      <c r="K28" s="10" t="n"/>
    </row>
    <row r="29">
      <c r="F29" s="10" t="n"/>
      <c r="K29" s="10" t="n"/>
    </row>
    <row r="30">
      <c r="F30" s="10" t="n"/>
      <c r="K30" s="10" t="n"/>
    </row>
    <row r="31">
      <c r="F31" s="10" t="n"/>
      <c r="K31" s="10" t="n"/>
    </row>
    <row r="32">
      <c r="F32" s="10" t="n"/>
      <c r="K32" s="10" t="n"/>
    </row>
    <row r="33">
      <c r="F33" s="10" t="n"/>
      <c r="K33" s="10" t="n"/>
    </row>
    <row r="34">
      <c r="F34" s="10" t="n"/>
      <c r="K34" s="10" t="n"/>
    </row>
    <row r="35">
      <c r="F35" s="10" t="n"/>
      <c r="K35" s="10" t="n"/>
    </row>
    <row r="36">
      <c r="F36" s="10" t="n"/>
      <c r="K36" s="10" t="n"/>
    </row>
    <row r="37">
      <c r="F37" s="10" t="n"/>
      <c r="K37" s="10" t="n"/>
    </row>
    <row r="38">
      <c r="F38" s="10" t="n"/>
      <c r="K38" s="10" t="n"/>
    </row>
    <row r="39">
      <c r="F39" s="10" t="n"/>
      <c r="K39" s="10" t="n"/>
    </row>
    <row r="40">
      <c r="F40" s="10" t="n"/>
      <c r="K40" s="10" t="n"/>
    </row>
    <row r="41">
      <c r="F41" s="10" t="n"/>
      <c r="K41" s="10" t="n"/>
    </row>
    <row r="42">
      <c r="F42" s="10" t="n"/>
      <c r="K42" s="10" t="n"/>
    </row>
    <row r="43">
      <c r="F43" s="10" t="n"/>
      <c r="K43" s="10" t="n"/>
    </row>
    <row r="44">
      <c r="F44" s="10" t="n"/>
      <c r="K44" s="10" t="n"/>
    </row>
    <row r="45">
      <c r="F45" s="10" t="n"/>
      <c r="K45" s="10" t="n"/>
    </row>
    <row r="46">
      <c r="F46" s="10" t="n"/>
      <c r="K46" s="10" t="n"/>
    </row>
    <row r="47">
      <c r="F47" s="10" t="n"/>
      <c r="K47" s="10" t="n"/>
    </row>
    <row r="48">
      <c r="F48" s="10" t="n"/>
      <c r="K48" s="10" t="n"/>
    </row>
    <row r="49">
      <c r="F49" s="10" t="n"/>
      <c r="K49" s="10" t="n"/>
    </row>
    <row r="50">
      <c r="F50" s="10" t="n"/>
      <c r="K50" s="10" t="n"/>
    </row>
    <row r="51">
      <c r="F51" s="10" t="n"/>
      <c r="K51" s="10" t="n"/>
    </row>
    <row r="52">
      <c r="F52" s="10" t="n"/>
      <c r="K52" s="10" t="n"/>
    </row>
    <row r="53">
      <c r="F53" s="10" t="n"/>
      <c r="K53" s="10" t="n"/>
    </row>
    <row r="54">
      <c r="F54" s="10" t="n"/>
      <c r="K54" s="10" t="n"/>
    </row>
    <row r="55">
      <c r="F55" s="10" t="n"/>
      <c r="K55" s="10" t="n"/>
    </row>
    <row r="56">
      <c r="F56" s="10" t="n"/>
      <c r="K56" s="10" t="n"/>
    </row>
    <row r="57">
      <c r="F57" s="10" t="n"/>
      <c r="K57" s="10" t="n"/>
    </row>
    <row r="58">
      <c r="F58" s="10" t="n"/>
      <c r="K58" s="10" t="n"/>
    </row>
    <row r="59">
      <c r="F59" s="10" t="n"/>
      <c r="K59" s="10" t="n"/>
    </row>
    <row r="60">
      <c r="F60" s="10" t="n"/>
      <c r="K60" s="10" t="n"/>
    </row>
  </sheetData>
  <mergeCells count="1">
    <mergeCell ref="B1:K1"/>
  </mergeCells>
  <conditionalFormatting sqref="A3:K1000">
    <cfRule type="expression" priority="1" dxfId="0">
      <formula>AND($F3&lt;&gt;"",$F3&lt;TODAY(),$E3&lt;&gt;"Done")</formula>
    </cfRule>
    <cfRule type="expression" priority="2" dxfId="1">
      <formula>$E3="Blocked"</formula>
    </cfRule>
    <cfRule type="expression" priority="3" dxfId="2">
      <formula>$E3="Done"</formula>
    </cfRule>
  </conditionalFormatting>
  <conditionalFormatting sqref="K3:K1000">
    <cfRule type="expression" priority="4" dxfId="3">
      <formula>AND($K3&lt;&gt;"",$K3&lt;TODAY()-14,$E3&lt;&gt;"Done")</formula>
    </cfRule>
  </conditionalFormatting>
  <dataValidations count="7">
    <dataValidation sqref="B3:B1000" showDropDown="0" showInputMessage="0" showErrorMessage="0" allowBlank="1" type="list">
      <formula1>Lists!$A$2:$A$30</formula1>
    </dataValidation>
    <dataValidation sqref="C3:C1000" showDropDown="0" showInputMessage="0" showErrorMessage="0" allowBlank="1" type="list">
      <formula1>Lists!$B$2:$B$200</formula1>
    </dataValidation>
    <dataValidation sqref="D3:D1000" showDropDown="0" showInputMessage="0" showErrorMessage="1" allowBlank="1" errorTitle="Not on the list" error="Pick a value from the list." type="list">
      <formula1>Lists!$C$2:$C$30</formula1>
    </dataValidation>
    <dataValidation sqref="E3:E1000" showDropDown="0" showInputMessage="0" showErrorMessage="1" allowBlank="1" errorTitle="Not on the list" error="Pick a value from the list." type="list">
      <formula1>Lists!$D$2:$D$10</formula1>
    </dataValidation>
    <dataValidation sqref="I3:I1000" showDropDown="0" showInputMessage="0" showErrorMessage="0" allowBlank="1" type="list">
      <formula1>Lists!$E$2:$E$60</formula1>
    </dataValidation>
    <dataValidation sqref="F3:F1000" showDropDown="0" showInputMessage="0" showErrorMessage="1" allowBlank="1" errorTitle="Date" error="Enter a date, for example 30 Oct 2026." type="date" operator="greaterThan">
      <formula1>DATE(2020,1,1)</formula1>
    </dataValidation>
    <dataValidation sqref="K3:K1000" showDropDown="0" showInputMessage="0" showErrorMessage="1" allowBlank="1" errorTitle="Date" error="Enter a date, for example 30 Oct 2026."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7A4BA6"/>
    <outlinePr summaryBelow="1" summaryRight="1"/>
    <pageSetUpPr/>
  </sheetPr>
  <dimension ref="A1:K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20" customWidth="1" min="3" max="3"/>
    <col width="22" customWidth="1" min="4" max="4"/>
    <col width="13" customWidth="1" min="5" max="5"/>
    <col width="12" customWidth="1" min="6" max="6"/>
    <col width="48" customWidth="1" min="7" max="7"/>
    <col width="32" customWidth="1" min="8" max="8"/>
    <col width="22" customWidth="1" min="9" max="9"/>
    <col width="26" customWidth="1" min="10" max="10"/>
    <col width="13" customWidth="1" min="11" max="11"/>
  </cols>
  <sheetData>
    <row r="1" ht="26" customHeight="1">
      <c r="A1" s="9" t="inlineStr">
        <is>
          <t>Khushii</t>
        </is>
      </c>
      <c r="B1" s="2" t="inlineStr">
        <is>
          <t>Only Khushii and Suhail can edit this tab. One row per project; use the dropdowns.</t>
        </is>
      </c>
    </row>
    <row r="2" ht="30" customHeight="1">
      <c r="A2" s="6" t="inlineStr">
        <is>
          <t>Project</t>
        </is>
      </c>
      <c r="B2" s="6" t="inlineStr">
        <is>
          <t>Market</t>
        </is>
      </c>
      <c r="C2" s="6" t="inlineStr">
        <is>
          <t>Brand</t>
        </is>
      </c>
      <c r="D2" s="6" t="inlineStr">
        <is>
          <t>Stream</t>
        </is>
      </c>
      <c r="E2" s="6" t="inlineStr">
        <is>
          <t>Status</t>
        </is>
      </c>
      <c r="F2" s="6" t="inlineStr">
        <is>
          <t>Due date</t>
        </is>
      </c>
      <c r="G2" s="6" t="inlineStr">
        <is>
          <t>Latest update / next step</t>
        </is>
      </c>
      <c r="H2" s="6" t="inlineStr">
        <is>
          <t>Blocked on / need from Suhail</t>
        </is>
      </c>
      <c r="I2" s="6" t="inlineStr">
        <is>
          <t>Agency</t>
        </is>
      </c>
      <c r="J2" s="6" t="inlineStr">
        <is>
          <t>Link (brief, deck, folder)</t>
        </is>
      </c>
      <c r="K2" s="6" t="inlineStr">
        <is>
          <t>Last updated</t>
        </is>
      </c>
    </row>
    <row r="3">
      <c r="A3" s="5" t="n"/>
      <c r="B3" s="5" t="n"/>
      <c r="C3" s="5" t="n"/>
      <c r="D3" s="5" t="n"/>
      <c r="E3" s="5" t="n"/>
      <c r="F3" s="8" t="n"/>
      <c r="G3" s="5" t="n"/>
      <c r="H3" s="5" t="n"/>
      <c r="I3" s="5" t="n"/>
      <c r="J3" s="5" t="n"/>
      <c r="K3" s="8" t="n"/>
    </row>
    <row r="4">
      <c r="F4" s="10" t="n"/>
      <c r="K4" s="10" t="n"/>
    </row>
    <row r="5">
      <c r="F5" s="10" t="n"/>
      <c r="K5" s="10" t="n"/>
    </row>
    <row r="6">
      <c r="F6" s="10" t="n"/>
      <c r="K6" s="10" t="n"/>
    </row>
    <row r="7">
      <c r="F7" s="10" t="n"/>
      <c r="K7" s="10" t="n"/>
    </row>
    <row r="8">
      <c r="F8" s="10" t="n"/>
      <c r="K8" s="10" t="n"/>
    </row>
    <row r="9">
      <c r="F9" s="10" t="n"/>
      <c r="K9" s="10" t="n"/>
    </row>
    <row r="10">
      <c r="F10" s="10" t="n"/>
      <c r="K10" s="10" t="n"/>
    </row>
    <row r="11">
      <c r="F11" s="10" t="n"/>
      <c r="K11" s="10" t="n"/>
    </row>
    <row r="12">
      <c r="F12" s="10" t="n"/>
      <c r="K12" s="10" t="n"/>
    </row>
    <row r="13">
      <c r="F13" s="10" t="n"/>
      <c r="K13" s="10" t="n"/>
    </row>
    <row r="14">
      <c r="F14" s="10" t="n"/>
      <c r="K14" s="10" t="n"/>
    </row>
    <row r="15">
      <c r="F15" s="10" t="n"/>
      <c r="K15" s="10" t="n"/>
    </row>
    <row r="16">
      <c r="F16" s="10" t="n"/>
      <c r="K16" s="10" t="n"/>
    </row>
    <row r="17">
      <c r="F17" s="10" t="n"/>
      <c r="K17" s="10" t="n"/>
    </row>
    <row r="18">
      <c r="F18" s="10" t="n"/>
      <c r="K18" s="10" t="n"/>
    </row>
    <row r="19">
      <c r="F19" s="10" t="n"/>
      <c r="K19" s="10" t="n"/>
    </row>
    <row r="20">
      <c r="F20" s="10" t="n"/>
      <c r="K20" s="10" t="n"/>
    </row>
    <row r="21">
      <c r="F21" s="10" t="n"/>
      <c r="K21" s="10" t="n"/>
    </row>
    <row r="22">
      <c r="F22" s="10" t="n"/>
      <c r="K22" s="10" t="n"/>
    </row>
    <row r="23">
      <c r="F23" s="10" t="n"/>
      <c r="K23" s="10" t="n"/>
    </row>
    <row r="24">
      <c r="F24" s="10" t="n"/>
      <c r="K24" s="10" t="n"/>
    </row>
    <row r="25">
      <c r="F25" s="10" t="n"/>
      <c r="K25" s="10" t="n"/>
    </row>
    <row r="26">
      <c r="F26" s="10" t="n"/>
      <c r="K26" s="10" t="n"/>
    </row>
    <row r="27">
      <c r="F27" s="10" t="n"/>
      <c r="K27" s="10" t="n"/>
    </row>
    <row r="28">
      <c r="F28" s="10" t="n"/>
      <c r="K28" s="10" t="n"/>
    </row>
    <row r="29">
      <c r="F29" s="10" t="n"/>
      <c r="K29" s="10" t="n"/>
    </row>
    <row r="30">
      <c r="F30" s="10" t="n"/>
      <c r="K30" s="10" t="n"/>
    </row>
    <row r="31">
      <c r="F31" s="10" t="n"/>
      <c r="K31" s="10" t="n"/>
    </row>
    <row r="32">
      <c r="F32" s="10" t="n"/>
      <c r="K32" s="10" t="n"/>
    </row>
    <row r="33">
      <c r="F33" s="10" t="n"/>
      <c r="K33" s="10" t="n"/>
    </row>
    <row r="34">
      <c r="F34" s="10" t="n"/>
      <c r="K34" s="10" t="n"/>
    </row>
    <row r="35">
      <c r="F35" s="10" t="n"/>
      <c r="K35" s="10" t="n"/>
    </row>
    <row r="36">
      <c r="F36" s="10" t="n"/>
      <c r="K36" s="10" t="n"/>
    </row>
    <row r="37">
      <c r="F37" s="10" t="n"/>
      <c r="K37" s="10" t="n"/>
    </row>
    <row r="38">
      <c r="F38" s="10" t="n"/>
      <c r="K38" s="10" t="n"/>
    </row>
    <row r="39">
      <c r="F39" s="10" t="n"/>
      <c r="K39" s="10" t="n"/>
    </row>
    <row r="40">
      <c r="F40" s="10" t="n"/>
      <c r="K40" s="10" t="n"/>
    </row>
    <row r="41">
      <c r="F41" s="10" t="n"/>
      <c r="K41" s="10" t="n"/>
    </row>
    <row r="42">
      <c r="F42" s="10" t="n"/>
      <c r="K42" s="10" t="n"/>
    </row>
    <row r="43">
      <c r="F43" s="10" t="n"/>
      <c r="K43" s="10" t="n"/>
    </row>
    <row r="44">
      <c r="F44" s="10" t="n"/>
      <c r="K44" s="10" t="n"/>
    </row>
    <row r="45">
      <c r="F45" s="10" t="n"/>
      <c r="K45" s="10" t="n"/>
    </row>
    <row r="46">
      <c r="F46" s="10" t="n"/>
      <c r="K46" s="10" t="n"/>
    </row>
    <row r="47">
      <c r="F47" s="10" t="n"/>
      <c r="K47" s="10" t="n"/>
    </row>
    <row r="48">
      <c r="F48" s="10" t="n"/>
      <c r="K48" s="10" t="n"/>
    </row>
    <row r="49">
      <c r="F49" s="10" t="n"/>
      <c r="K49" s="10" t="n"/>
    </row>
    <row r="50">
      <c r="F50" s="10" t="n"/>
      <c r="K50" s="10" t="n"/>
    </row>
    <row r="51">
      <c r="F51" s="10" t="n"/>
      <c r="K51" s="10" t="n"/>
    </row>
    <row r="52">
      <c r="F52" s="10" t="n"/>
      <c r="K52" s="10" t="n"/>
    </row>
    <row r="53">
      <c r="F53" s="10" t="n"/>
      <c r="K53" s="10" t="n"/>
    </row>
    <row r="54">
      <c r="F54" s="10" t="n"/>
      <c r="K54" s="10" t="n"/>
    </row>
    <row r="55">
      <c r="F55" s="10" t="n"/>
      <c r="K55" s="10" t="n"/>
    </row>
    <row r="56">
      <c r="F56" s="10" t="n"/>
      <c r="K56" s="10" t="n"/>
    </row>
    <row r="57">
      <c r="F57" s="10" t="n"/>
      <c r="K57" s="10" t="n"/>
    </row>
    <row r="58">
      <c r="F58" s="10" t="n"/>
      <c r="K58" s="10" t="n"/>
    </row>
    <row r="59">
      <c r="F59" s="10" t="n"/>
      <c r="K59" s="10" t="n"/>
    </row>
    <row r="60">
      <c r="F60" s="10" t="n"/>
      <c r="K60" s="10" t="n"/>
    </row>
  </sheetData>
  <mergeCells count="1">
    <mergeCell ref="B1:K1"/>
  </mergeCells>
  <conditionalFormatting sqref="A3:K1000">
    <cfRule type="expression" priority="1" dxfId="0">
      <formula>AND($F3&lt;&gt;"",$F3&lt;TODAY(),$E3&lt;&gt;"Done")</formula>
    </cfRule>
    <cfRule type="expression" priority="2" dxfId="1">
      <formula>$E3="Blocked"</formula>
    </cfRule>
    <cfRule type="expression" priority="3" dxfId="2">
      <formula>$E3="Done"</formula>
    </cfRule>
  </conditionalFormatting>
  <conditionalFormatting sqref="K3:K1000">
    <cfRule type="expression" priority="4" dxfId="3">
      <formula>AND($K3&lt;&gt;"",$K3&lt;TODAY()-14,$E3&lt;&gt;"Done")</formula>
    </cfRule>
  </conditionalFormatting>
  <dataValidations count="7">
    <dataValidation sqref="B3:B1000" showDropDown="0" showInputMessage="0" showErrorMessage="0" allowBlank="1" type="list">
      <formula1>Lists!$A$2:$A$30</formula1>
    </dataValidation>
    <dataValidation sqref="C3:C1000" showDropDown="0" showInputMessage="0" showErrorMessage="0" allowBlank="1" type="list">
      <formula1>Lists!$B$2:$B$200</formula1>
    </dataValidation>
    <dataValidation sqref="D3:D1000" showDropDown="0" showInputMessage="0" showErrorMessage="1" allowBlank="1" errorTitle="Not on the list" error="Pick a value from the list." type="list">
      <formula1>Lists!$C$2:$C$30</formula1>
    </dataValidation>
    <dataValidation sqref="E3:E1000" showDropDown="0" showInputMessage="0" showErrorMessage="1" allowBlank="1" errorTitle="Not on the list" error="Pick a value from the list." type="list">
      <formula1>Lists!$D$2:$D$10</formula1>
    </dataValidation>
    <dataValidation sqref="I3:I1000" showDropDown="0" showInputMessage="0" showErrorMessage="0" allowBlank="1" type="list">
      <formula1>Lists!$E$2:$E$60</formula1>
    </dataValidation>
    <dataValidation sqref="F3:F1000" showDropDown="0" showInputMessage="0" showErrorMessage="1" allowBlank="1" errorTitle="Date" error="Enter a date, for example 30 Oct 2026." type="date" operator="greaterThan">
      <formula1>DATE(2020,1,1)</formula1>
    </dataValidation>
    <dataValidation sqref="K3:K1000" showDropDown="0" showInputMessage="0" showErrorMessage="1" allowBlank="1" errorTitle="Date" error="Enter a date, for example 30 Oct 2026." type="date" operator="greaterThan">
      <formula1>DATE(2020,1,1)</formula1>
    </dataValidation>
  </dataValidations>
  <pageMargins left="0.75" right="0.75" top="1" bottom="1" header="0.5" footer="0.5"/>
</worksheet>
</file>

<file path=xl/worksheets/sheet8.xml><?xml version="1.0" encoding="utf-8"?>
<worksheet xmlns="http://schemas.openxmlformats.org/spreadsheetml/2006/main">
  <sheetPr>
    <tabColor rgb="008C6A0E"/>
    <outlinePr summaryBelow="1" summaryRight="1"/>
    <pageSetUpPr/>
  </sheetPr>
  <dimension ref="A1:K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20" customWidth="1" min="3" max="3"/>
    <col width="22" customWidth="1" min="4" max="4"/>
    <col width="13" customWidth="1" min="5" max="5"/>
    <col width="12" customWidth="1" min="6" max="6"/>
    <col width="48" customWidth="1" min="7" max="7"/>
    <col width="32" customWidth="1" min="8" max="8"/>
    <col width="22" customWidth="1" min="9" max="9"/>
    <col width="26" customWidth="1" min="10" max="10"/>
    <col width="13" customWidth="1" min="11" max="11"/>
  </cols>
  <sheetData>
    <row r="1" ht="26" customHeight="1">
      <c r="A1" s="9" t="inlineStr">
        <is>
          <t>Team member 4</t>
        </is>
      </c>
      <c r="B1" s="2" t="inlineStr">
        <is>
          <t>For the fourth team member: change the name in A1 and rename this tab. Only they and Suhail can edit it.</t>
        </is>
      </c>
    </row>
    <row r="2" ht="30" customHeight="1">
      <c r="A2" s="6" t="inlineStr">
        <is>
          <t>Project</t>
        </is>
      </c>
      <c r="B2" s="6" t="inlineStr">
        <is>
          <t>Market</t>
        </is>
      </c>
      <c r="C2" s="6" t="inlineStr">
        <is>
          <t>Brand</t>
        </is>
      </c>
      <c r="D2" s="6" t="inlineStr">
        <is>
          <t>Stream</t>
        </is>
      </c>
      <c r="E2" s="6" t="inlineStr">
        <is>
          <t>Status</t>
        </is>
      </c>
      <c r="F2" s="6" t="inlineStr">
        <is>
          <t>Due date</t>
        </is>
      </c>
      <c r="G2" s="6" t="inlineStr">
        <is>
          <t>Latest update / next step</t>
        </is>
      </c>
      <c r="H2" s="6" t="inlineStr">
        <is>
          <t>Blocked on / need from Suhail</t>
        </is>
      </c>
      <c r="I2" s="6" t="inlineStr">
        <is>
          <t>Agency</t>
        </is>
      </c>
      <c r="J2" s="6" t="inlineStr">
        <is>
          <t>Link (brief, deck, folder)</t>
        </is>
      </c>
      <c r="K2" s="6" t="inlineStr">
        <is>
          <t>Last updated</t>
        </is>
      </c>
    </row>
    <row r="3">
      <c r="A3" s="5" t="n"/>
      <c r="B3" s="5" t="n"/>
      <c r="C3" s="5" t="n"/>
      <c r="D3" s="5" t="n"/>
      <c r="E3" s="5" t="n"/>
      <c r="F3" s="8" t="n"/>
      <c r="G3" s="5" t="n"/>
      <c r="H3" s="5" t="n"/>
      <c r="I3" s="5" t="n"/>
      <c r="J3" s="5" t="n"/>
      <c r="K3" s="8" t="n"/>
    </row>
    <row r="4">
      <c r="F4" s="10" t="n"/>
      <c r="K4" s="10" t="n"/>
    </row>
    <row r="5">
      <c r="F5" s="10" t="n"/>
      <c r="K5" s="10" t="n"/>
    </row>
    <row r="6">
      <c r="F6" s="10" t="n"/>
      <c r="K6" s="10" t="n"/>
    </row>
    <row r="7">
      <c r="F7" s="10" t="n"/>
      <c r="K7" s="10" t="n"/>
    </row>
    <row r="8">
      <c r="F8" s="10" t="n"/>
      <c r="K8" s="10" t="n"/>
    </row>
    <row r="9">
      <c r="F9" s="10" t="n"/>
      <c r="K9" s="10" t="n"/>
    </row>
    <row r="10">
      <c r="F10" s="10" t="n"/>
      <c r="K10" s="10" t="n"/>
    </row>
    <row r="11">
      <c r="F11" s="10" t="n"/>
      <c r="K11" s="10" t="n"/>
    </row>
    <row r="12">
      <c r="F12" s="10" t="n"/>
      <c r="K12" s="10" t="n"/>
    </row>
    <row r="13">
      <c r="F13" s="10" t="n"/>
      <c r="K13" s="10" t="n"/>
    </row>
    <row r="14">
      <c r="F14" s="10" t="n"/>
      <c r="K14" s="10" t="n"/>
    </row>
    <row r="15">
      <c r="F15" s="10" t="n"/>
      <c r="K15" s="10" t="n"/>
    </row>
    <row r="16">
      <c r="F16" s="10" t="n"/>
      <c r="K16" s="10" t="n"/>
    </row>
    <row r="17">
      <c r="F17" s="10" t="n"/>
      <c r="K17" s="10" t="n"/>
    </row>
    <row r="18">
      <c r="F18" s="10" t="n"/>
      <c r="K18" s="10" t="n"/>
    </row>
    <row r="19">
      <c r="F19" s="10" t="n"/>
      <c r="K19" s="10" t="n"/>
    </row>
    <row r="20">
      <c r="F20" s="10" t="n"/>
      <c r="K20" s="10" t="n"/>
    </row>
    <row r="21">
      <c r="F21" s="10" t="n"/>
      <c r="K21" s="10" t="n"/>
    </row>
    <row r="22">
      <c r="F22" s="10" t="n"/>
      <c r="K22" s="10" t="n"/>
    </row>
    <row r="23">
      <c r="F23" s="10" t="n"/>
      <c r="K23" s="10" t="n"/>
    </row>
    <row r="24">
      <c r="F24" s="10" t="n"/>
      <c r="K24" s="10" t="n"/>
    </row>
    <row r="25">
      <c r="F25" s="10" t="n"/>
      <c r="K25" s="10" t="n"/>
    </row>
    <row r="26">
      <c r="F26" s="10" t="n"/>
      <c r="K26" s="10" t="n"/>
    </row>
    <row r="27">
      <c r="F27" s="10" t="n"/>
      <c r="K27" s="10" t="n"/>
    </row>
    <row r="28">
      <c r="F28" s="10" t="n"/>
      <c r="K28" s="10" t="n"/>
    </row>
    <row r="29">
      <c r="F29" s="10" t="n"/>
      <c r="K29" s="10" t="n"/>
    </row>
    <row r="30">
      <c r="F30" s="10" t="n"/>
      <c r="K30" s="10" t="n"/>
    </row>
    <row r="31">
      <c r="F31" s="10" t="n"/>
      <c r="K31" s="10" t="n"/>
    </row>
    <row r="32">
      <c r="F32" s="10" t="n"/>
      <c r="K32" s="10" t="n"/>
    </row>
    <row r="33">
      <c r="F33" s="10" t="n"/>
      <c r="K33" s="10" t="n"/>
    </row>
    <row r="34">
      <c r="F34" s="10" t="n"/>
      <c r="K34" s="10" t="n"/>
    </row>
    <row r="35">
      <c r="F35" s="10" t="n"/>
      <c r="K35" s="10" t="n"/>
    </row>
    <row r="36">
      <c r="F36" s="10" t="n"/>
      <c r="K36" s="10" t="n"/>
    </row>
    <row r="37">
      <c r="F37" s="10" t="n"/>
      <c r="K37" s="10" t="n"/>
    </row>
    <row r="38">
      <c r="F38" s="10" t="n"/>
      <c r="K38" s="10" t="n"/>
    </row>
    <row r="39">
      <c r="F39" s="10" t="n"/>
      <c r="K39" s="10" t="n"/>
    </row>
    <row r="40">
      <c r="F40" s="10" t="n"/>
      <c r="K40" s="10" t="n"/>
    </row>
    <row r="41">
      <c r="F41" s="10" t="n"/>
      <c r="K41" s="10" t="n"/>
    </row>
    <row r="42">
      <c r="F42" s="10" t="n"/>
      <c r="K42" s="10" t="n"/>
    </row>
    <row r="43">
      <c r="F43" s="10" t="n"/>
      <c r="K43" s="10" t="n"/>
    </row>
    <row r="44">
      <c r="F44" s="10" t="n"/>
      <c r="K44" s="10" t="n"/>
    </row>
    <row r="45">
      <c r="F45" s="10" t="n"/>
      <c r="K45" s="10" t="n"/>
    </row>
    <row r="46">
      <c r="F46" s="10" t="n"/>
      <c r="K46" s="10" t="n"/>
    </row>
    <row r="47">
      <c r="F47" s="10" t="n"/>
      <c r="K47" s="10" t="n"/>
    </row>
    <row r="48">
      <c r="F48" s="10" t="n"/>
      <c r="K48" s="10" t="n"/>
    </row>
    <row r="49">
      <c r="F49" s="10" t="n"/>
      <c r="K49" s="10" t="n"/>
    </row>
    <row r="50">
      <c r="F50" s="10" t="n"/>
      <c r="K50" s="10" t="n"/>
    </row>
    <row r="51">
      <c r="F51" s="10" t="n"/>
      <c r="K51" s="10" t="n"/>
    </row>
    <row r="52">
      <c r="F52" s="10" t="n"/>
      <c r="K52" s="10" t="n"/>
    </row>
    <row r="53">
      <c r="F53" s="10" t="n"/>
      <c r="K53" s="10" t="n"/>
    </row>
    <row r="54">
      <c r="F54" s="10" t="n"/>
      <c r="K54" s="10" t="n"/>
    </row>
    <row r="55">
      <c r="F55" s="10" t="n"/>
      <c r="K55" s="10" t="n"/>
    </row>
    <row r="56">
      <c r="F56" s="10" t="n"/>
      <c r="K56" s="10" t="n"/>
    </row>
    <row r="57">
      <c r="F57" s="10" t="n"/>
      <c r="K57" s="10" t="n"/>
    </row>
    <row r="58">
      <c r="F58" s="10" t="n"/>
      <c r="K58" s="10" t="n"/>
    </row>
    <row r="59">
      <c r="F59" s="10" t="n"/>
      <c r="K59" s="10" t="n"/>
    </row>
    <row r="60">
      <c r="F60" s="10" t="n"/>
      <c r="K60" s="10" t="n"/>
    </row>
  </sheetData>
  <mergeCells count="1">
    <mergeCell ref="B1:K1"/>
  </mergeCells>
  <conditionalFormatting sqref="A3:K1000">
    <cfRule type="expression" priority="1" dxfId="0">
      <formula>AND($F3&lt;&gt;"",$F3&lt;TODAY(),$E3&lt;&gt;"Done")</formula>
    </cfRule>
    <cfRule type="expression" priority="2" dxfId="1">
      <formula>$E3="Blocked"</formula>
    </cfRule>
    <cfRule type="expression" priority="3" dxfId="2">
      <formula>$E3="Done"</formula>
    </cfRule>
  </conditionalFormatting>
  <conditionalFormatting sqref="K3:K1000">
    <cfRule type="expression" priority="4" dxfId="3">
      <formula>AND($K3&lt;&gt;"",$K3&lt;TODAY()-14,$E3&lt;&gt;"Done")</formula>
    </cfRule>
  </conditionalFormatting>
  <dataValidations count="7">
    <dataValidation sqref="B3:B1000" showDropDown="0" showInputMessage="0" showErrorMessage="0" allowBlank="1" type="list">
      <formula1>Lists!$A$2:$A$30</formula1>
    </dataValidation>
    <dataValidation sqref="C3:C1000" showDropDown="0" showInputMessage="0" showErrorMessage="0" allowBlank="1" type="list">
      <formula1>Lists!$B$2:$B$200</formula1>
    </dataValidation>
    <dataValidation sqref="D3:D1000" showDropDown="0" showInputMessage="0" showErrorMessage="1" allowBlank="1" errorTitle="Not on the list" error="Pick a value from the list." type="list">
      <formula1>Lists!$C$2:$C$30</formula1>
    </dataValidation>
    <dataValidation sqref="E3:E1000" showDropDown="0" showInputMessage="0" showErrorMessage="1" allowBlank="1" errorTitle="Not on the list" error="Pick a value from the list." type="list">
      <formula1>Lists!$D$2:$D$10</formula1>
    </dataValidation>
    <dataValidation sqref="I3:I1000" showDropDown="0" showInputMessage="0" showErrorMessage="0" allowBlank="1" type="list">
      <formula1>Lists!$E$2:$E$60</formula1>
    </dataValidation>
    <dataValidation sqref="F3:F1000" showDropDown="0" showInputMessage="0" showErrorMessage="1" allowBlank="1" errorTitle="Date" error="Enter a date, for example 30 Oct 2026." type="date" operator="greaterThan">
      <formula1>DATE(2020,1,1)</formula1>
    </dataValidation>
    <dataValidation sqref="K3:K1000" showDropDown="0" showInputMessage="0" showErrorMessage="1" allowBlank="1" errorTitle="Date" error="Enter a date, for example 30 Oct 2026." type="date" operator="greaterThan">
      <formula1>DATE(2020,1,1)</formula1>
    </dataValidation>
  </dataValidations>
  <pageMargins left="0.75" right="0.75" top="1" bottom="1" header="0.5" footer="0.5"/>
</worksheet>
</file>

<file path=xl/worksheets/sheet9.xml><?xml version="1.0" encoding="utf-8"?>
<worksheet xmlns="http://schemas.openxmlformats.org/spreadsheetml/2006/main">
  <sheetPr>
    <tabColor rgb="00A26300"/>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12" customWidth="1" min="1" max="1"/>
    <col width="13" customWidth="1" min="2" max="2"/>
    <col width="34" customWidth="1" min="3" max="3"/>
    <col width="18" customWidth="1" min="4" max="4"/>
    <col width="60" customWidth="1" min="5" max="5"/>
    <col width="28" customWidth="1" min="6" max="6"/>
    <col width="40" customWidth="1" min="7" max="7"/>
  </cols>
  <sheetData>
    <row r="1">
      <c r="A1" s="9" t="inlineStr">
        <is>
          <t>Comments</t>
        </is>
      </c>
      <c r="C1" s="2" t="inlineStr">
        <is>
          <t>Everyone can write here. Newest at the bottom; the Dashboard shows the latest 10. Suhail replies in column G.</t>
        </is>
      </c>
    </row>
    <row r="2" ht="30" customHeight="1">
      <c r="A2" s="6" t="inlineStr">
        <is>
          <t>Date</t>
        </is>
      </c>
      <c r="B2" s="6" t="inlineStr">
        <is>
          <t>Who</t>
        </is>
      </c>
      <c r="C2" s="6" t="inlineStr">
        <is>
          <t>Project (or General)</t>
        </is>
      </c>
      <c r="D2" s="6" t="inlineStr">
        <is>
          <t>Type</t>
        </is>
      </c>
      <c r="E2" s="6" t="inlineStr">
        <is>
          <t>Comment</t>
        </is>
      </c>
      <c r="F2" s="6" t="inlineStr">
        <is>
          <t>Link</t>
        </is>
      </c>
      <c r="G2" s="6" t="inlineStr">
        <is>
          <t>Reply from Suhail</t>
        </is>
      </c>
    </row>
    <row r="3">
      <c r="A3" s="8" t="n"/>
      <c r="B3" s="5" t="n"/>
      <c r="C3" s="5" t="n"/>
      <c r="D3" s="5" t="n"/>
      <c r="E3" s="5" t="n"/>
      <c r="F3" s="5" t="n"/>
      <c r="G3" s="5" t="n"/>
    </row>
    <row r="4">
      <c r="A4" s="8" t="n"/>
      <c r="B4" s="5" t="n"/>
      <c r="C4" s="5" t="n"/>
      <c r="D4" s="5" t="n"/>
      <c r="E4" s="5" t="n"/>
      <c r="F4" s="5" t="n"/>
      <c r="G4" s="5" t="n"/>
    </row>
    <row r="5">
      <c r="A5" s="8" t="n"/>
      <c r="B5" s="5" t="n"/>
      <c r="C5" s="5" t="n"/>
      <c r="D5" s="5" t="n"/>
      <c r="E5" s="5" t="n"/>
      <c r="F5" s="5" t="n"/>
      <c r="G5" s="5" t="n"/>
    </row>
    <row r="6">
      <c r="A6" s="8" t="n"/>
      <c r="B6" s="5" t="n"/>
      <c r="C6" s="5" t="n"/>
      <c r="D6" s="5" t="n"/>
      <c r="E6" s="5" t="n"/>
      <c r="F6" s="5" t="n"/>
      <c r="G6" s="5" t="n"/>
    </row>
    <row r="7">
      <c r="A7" s="8" t="n"/>
      <c r="B7" s="5" t="n"/>
      <c r="C7" s="5" t="n"/>
      <c r="D7" s="5" t="n"/>
      <c r="E7" s="5" t="n"/>
      <c r="F7" s="5" t="n"/>
      <c r="G7" s="5" t="n"/>
    </row>
    <row r="8">
      <c r="A8" s="8" t="n"/>
      <c r="B8" s="5" t="n"/>
      <c r="C8" s="5" t="n"/>
      <c r="D8" s="5" t="n"/>
      <c r="E8" s="5" t="n"/>
      <c r="F8" s="5" t="n"/>
      <c r="G8" s="5" t="n"/>
    </row>
    <row r="9">
      <c r="A9" s="8" t="n"/>
      <c r="B9" s="5" t="n"/>
      <c r="C9" s="5" t="n"/>
      <c r="D9" s="5" t="n"/>
      <c r="E9" s="5" t="n"/>
      <c r="F9" s="5" t="n"/>
      <c r="G9" s="5" t="n"/>
    </row>
    <row r="10">
      <c r="A10" s="8" t="n"/>
      <c r="B10" s="5" t="n"/>
      <c r="C10" s="5" t="n"/>
      <c r="D10" s="5" t="n"/>
      <c r="E10" s="5" t="n"/>
      <c r="F10" s="5" t="n"/>
      <c r="G10" s="5" t="n"/>
    </row>
    <row r="11">
      <c r="A11" s="8" t="n"/>
      <c r="B11" s="5" t="n"/>
      <c r="C11" s="5" t="n"/>
      <c r="D11" s="5" t="n"/>
      <c r="E11" s="5" t="n"/>
      <c r="F11" s="5" t="n"/>
      <c r="G11" s="5" t="n"/>
    </row>
    <row r="12">
      <c r="A12" s="8" t="n"/>
      <c r="B12" s="5" t="n"/>
      <c r="C12" s="5" t="n"/>
      <c r="D12" s="5" t="n"/>
      <c r="E12" s="5" t="n"/>
      <c r="F12" s="5" t="n"/>
      <c r="G12" s="5" t="n"/>
    </row>
    <row r="13">
      <c r="A13" s="8" t="n"/>
      <c r="B13" s="5" t="n"/>
      <c r="C13" s="5" t="n"/>
      <c r="D13" s="5" t="n"/>
      <c r="E13" s="5" t="n"/>
      <c r="F13" s="5" t="n"/>
      <c r="G13" s="5" t="n"/>
    </row>
    <row r="14">
      <c r="A14" s="8" t="n"/>
      <c r="B14" s="5" t="n"/>
      <c r="C14" s="5" t="n"/>
      <c r="D14" s="5" t="n"/>
      <c r="E14" s="5" t="n"/>
      <c r="F14" s="5" t="n"/>
      <c r="G14" s="5" t="n"/>
    </row>
    <row r="15">
      <c r="A15" s="8" t="n"/>
      <c r="B15" s="5" t="n"/>
      <c r="C15" s="5" t="n"/>
      <c r="D15" s="5" t="n"/>
      <c r="E15" s="5" t="n"/>
      <c r="F15" s="5" t="n"/>
      <c r="G15" s="5" t="n"/>
    </row>
    <row r="16">
      <c r="A16" s="8" t="n"/>
      <c r="B16" s="5" t="n"/>
      <c r="C16" s="5" t="n"/>
      <c r="D16" s="5" t="n"/>
      <c r="E16" s="5" t="n"/>
      <c r="F16" s="5" t="n"/>
      <c r="G16" s="5" t="n"/>
    </row>
    <row r="17">
      <c r="A17" s="8" t="n"/>
      <c r="B17" s="5" t="n"/>
      <c r="C17" s="5" t="n"/>
      <c r="D17" s="5" t="n"/>
      <c r="E17" s="5" t="n"/>
      <c r="F17" s="5" t="n"/>
      <c r="G17" s="5" t="n"/>
    </row>
    <row r="18">
      <c r="A18" s="8" t="n"/>
      <c r="B18" s="5" t="n"/>
      <c r="C18" s="5" t="n"/>
      <c r="D18" s="5" t="n"/>
      <c r="E18" s="5" t="n"/>
      <c r="F18" s="5" t="n"/>
      <c r="G18" s="5" t="n"/>
    </row>
    <row r="19">
      <c r="A19" s="8" t="n"/>
      <c r="B19" s="5" t="n"/>
      <c r="C19" s="5" t="n"/>
      <c r="D19" s="5" t="n"/>
      <c r="E19" s="5" t="n"/>
      <c r="F19" s="5" t="n"/>
      <c r="G19" s="5" t="n"/>
    </row>
    <row r="20">
      <c r="A20" s="8" t="n"/>
      <c r="B20" s="5" t="n"/>
      <c r="C20" s="5" t="n"/>
      <c r="D20" s="5" t="n"/>
      <c r="E20" s="5" t="n"/>
      <c r="F20" s="5" t="n"/>
      <c r="G20" s="5" t="n"/>
    </row>
    <row r="21">
      <c r="A21" s="8" t="n"/>
      <c r="B21" s="5" t="n"/>
      <c r="C21" s="5" t="n"/>
      <c r="D21" s="5" t="n"/>
      <c r="E21" s="5" t="n"/>
      <c r="F21" s="5" t="n"/>
      <c r="G21" s="5" t="n"/>
    </row>
    <row r="22">
      <c r="A22" s="8" t="n"/>
      <c r="B22" s="5" t="n"/>
      <c r="C22" s="5" t="n"/>
      <c r="D22" s="5" t="n"/>
      <c r="E22" s="5" t="n"/>
      <c r="F22" s="5" t="n"/>
      <c r="G22" s="5" t="n"/>
    </row>
    <row r="23">
      <c r="A23" s="8" t="n"/>
      <c r="B23" s="5" t="n"/>
      <c r="C23" s="5" t="n"/>
      <c r="D23" s="5" t="n"/>
      <c r="E23" s="5" t="n"/>
      <c r="F23" s="5" t="n"/>
      <c r="G23" s="5" t="n"/>
    </row>
    <row r="24">
      <c r="A24" s="8" t="n"/>
      <c r="B24" s="5" t="n"/>
      <c r="C24" s="5" t="n"/>
      <c r="D24" s="5" t="n"/>
      <c r="E24" s="5" t="n"/>
      <c r="F24" s="5" t="n"/>
      <c r="G24" s="5" t="n"/>
    </row>
    <row r="25">
      <c r="A25" s="8" t="n"/>
      <c r="B25" s="5" t="n"/>
      <c r="C25" s="5" t="n"/>
      <c r="D25" s="5" t="n"/>
      <c r="E25" s="5" t="n"/>
      <c r="F25" s="5" t="n"/>
      <c r="G25" s="5" t="n"/>
    </row>
    <row r="26">
      <c r="A26" s="8" t="n"/>
      <c r="B26" s="5" t="n"/>
      <c r="C26" s="5" t="n"/>
      <c r="D26" s="5" t="n"/>
      <c r="E26" s="5" t="n"/>
      <c r="F26" s="5" t="n"/>
      <c r="G26" s="5" t="n"/>
    </row>
    <row r="27">
      <c r="A27" s="8" t="n"/>
      <c r="B27" s="5" t="n"/>
      <c r="C27" s="5" t="n"/>
      <c r="D27" s="5" t="n"/>
      <c r="E27" s="5" t="n"/>
      <c r="F27" s="5" t="n"/>
      <c r="G27" s="5" t="n"/>
    </row>
    <row r="28">
      <c r="A28" s="8" t="n"/>
      <c r="B28" s="5" t="n"/>
      <c r="C28" s="5" t="n"/>
      <c r="D28" s="5" t="n"/>
      <c r="E28" s="5" t="n"/>
      <c r="F28" s="5" t="n"/>
      <c r="G28" s="5" t="n"/>
    </row>
    <row r="29">
      <c r="A29" s="8" t="n"/>
      <c r="B29" s="5" t="n"/>
      <c r="C29" s="5" t="n"/>
      <c r="D29" s="5" t="n"/>
      <c r="E29" s="5" t="n"/>
      <c r="F29" s="5" t="n"/>
      <c r="G29" s="5" t="n"/>
    </row>
    <row r="30">
      <c r="A30" s="8" t="n"/>
      <c r="B30" s="5" t="n"/>
      <c r="C30" s="5" t="n"/>
      <c r="D30" s="5" t="n"/>
      <c r="E30" s="5" t="n"/>
      <c r="F30" s="5" t="n"/>
      <c r="G30" s="5" t="n"/>
    </row>
    <row r="31">
      <c r="A31" s="8" t="n"/>
      <c r="B31" s="5" t="n"/>
      <c r="C31" s="5" t="n"/>
      <c r="D31" s="5" t="n"/>
      <c r="E31" s="5" t="n"/>
      <c r="F31" s="5" t="n"/>
      <c r="G31" s="5" t="n"/>
    </row>
    <row r="32">
      <c r="A32" s="8" t="n"/>
      <c r="B32" s="5" t="n"/>
      <c r="C32" s="5" t="n"/>
      <c r="D32" s="5" t="n"/>
      <c r="E32" s="5" t="n"/>
      <c r="F32" s="5" t="n"/>
      <c r="G32" s="5" t="n"/>
    </row>
    <row r="33">
      <c r="A33" s="8" t="n"/>
      <c r="B33" s="5" t="n"/>
      <c r="C33" s="5" t="n"/>
      <c r="D33" s="5" t="n"/>
      <c r="E33" s="5" t="n"/>
      <c r="F33" s="5" t="n"/>
      <c r="G33" s="5" t="n"/>
    </row>
    <row r="34">
      <c r="A34" s="8" t="n"/>
      <c r="B34" s="5" t="n"/>
      <c r="C34" s="5" t="n"/>
      <c r="D34" s="5" t="n"/>
      <c r="E34" s="5" t="n"/>
      <c r="F34" s="5" t="n"/>
      <c r="G34" s="5" t="n"/>
    </row>
    <row r="35">
      <c r="A35" s="8" t="n"/>
      <c r="B35" s="5" t="n"/>
      <c r="C35" s="5" t="n"/>
      <c r="D35" s="5" t="n"/>
      <c r="E35" s="5" t="n"/>
      <c r="F35" s="5" t="n"/>
      <c r="G35" s="5" t="n"/>
    </row>
    <row r="36">
      <c r="A36" s="8" t="n"/>
      <c r="B36" s="5" t="n"/>
      <c r="C36" s="5" t="n"/>
      <c r="D36" s="5" t="n"/>
      <c r="E36" s="5" t="n"/>
      <c r="F36" s="5" t="n"/>
      <c r="G36" s="5" t="n"/>
    </row>
    <row r="37">
      <c r="A37" s="8" t="n"/>
      <c r="B37" s="5" t="n"/>
      <c r="C37" s="5" t="n"/>
      <c r="D37" s="5" t="n"/>
      <c r="E37" s="5" t="n"/>
      <c r="F37" s="5" t="n"/>
      <c r="G37" s="5" t="n"/>
    </row>
    <row r="38">
      <c r="A38" s="8" t="n"/>
      <c r="B38" s="5" t="n"/>
      <c r="C38" s="5" t="n"/>
      <c r="D38" s="5" t="n"/>
      <c r="E38" s="5" t="n"/>
      <c r="F38" s="5" t="n"/>
      <c r="G38" s="5" t="n"/>
    </row>
    <row r="39">
      <c r="A39" s="8" t="n"/>
      <c r="B39" s="5" t="n"/>
      <c r="C39" s="5" t="n"/>
      <c r="D39" s="5" t="n"/>
      <c r="E39" s="5" t="n"/>
      <c r="F39" s="5" t="n"/>
      <c r="G39" s="5" t="n"/>
    </row>
    <row r="40">
      <c r="A40" s="8" t="n"/>
      <c r="B40" s="5" t="n"/>
      <c r="C40" s="5" t="n"/>
      <c r="D40" s="5" t="n"/>
      <c r="E40" s="5" t="n"/>
      <c r="F40" s="5" t="n"/>
      <c r="G40" s="5" t="n"/>
    </row>
    <row r="41">
      <c r="A41" s="10" t="n"/>
    </row>
    <row r="42">
      <c r="A42" s="10" t="n"/>
    </row>
    <row r="43">
      <c r="A43" s="10" t="n"/>
    </row>
    <row r="44">
      <c r="A44" s="10" t="n"/>
    </row>
    <row r="45">
      <c r="A45" s="10" t="n"/>
    </row>
    <row r="46">
      <c r="A46" s="10" t="n"/>
    </row>
    <row r="47">
      <c r="A47" s="10" t="n"/>
    </row>
    <row r="48">
      <c r="A48" s="10" t="n"/>
    </row>
    <row r="49">
      <c r="A49" s="10" t="n"/>
    </row>
    <row r="50">
      <c r="A50" s="10" t="n"/>
    </row>
    <row r="51">
      <c r="A51" s="10" t="n"/>
    </row>
    <row r="52">
      <c r="A52" s="10" t="n"/>
    </row>
    <row r="53">
      <c r="A53" s="10" t="n"/>
    </row>
    <row r="54">
      <c r="A54" s="10" t="n"/>
    </row>
    <row r="55">
      <c r="A55" s="10" t="n"/>
    </row>
    <row r="56">
      <c r="A56" s="10" t="n"/>
    </row>
    <row r="57">
      <c r="A57" s="10" t="n"/>
    </row>
    <row r="58">
      <c r="A58" s="10" t="n"/>
    </row>
    <row r="59">
      <c r="A59" s="10" t="n"/>
    </row>
    <row r="60">
      <c r="A60" s="10" t="n"/>
    </row>
  </sheetData>
  <conditionalFormatting sqref="A3:G1000">
    <cfRule type="expression" priority="1" dxfId="0">
      <formula>$D3="Urgent flag"</formula>
    </cfRule>
    <cfRule type="expression" priority="2" dxfId="1">
      <formula>$D3="Question for Suhail"</formula>
    </cfRule>
  </conditionalFormatting>
  <dataValidations count="4">
    <dataValidation sqref="A3:A1000" showDropDown="0" showInputMessage="0" showErrorMessage="1" allowBlank="1" errorTitle="Date" error="Enter a date, for example 30 Oct 2026." type="date" operator="greaterThan">
      <formula1>DATE(2020,1,1)</formula1>
    </dataValidation>
    <dataValidation sqref="B3:B1000" showDropDown="0" showInputMessage="0" showErrorMessage="1" allowBlank="1" type="list">
      <formula1>Lists!$F$2:$F$20</formula1>
    </dataValidation>
    <dataValidation sqref="C3:C1000" showDropDown="0" showInputMessage="0" showErrorMessage="0" allowBlank="1" type="list">
      <formula1>'All projects'!$B$3:$B$500</formula1>
    </dataValidation>
    <dataValidation sqref="D3:D1000" showDropDown="0" showInputMessage="0" showErrorMessage="1" allowBlank="1" type="list">
      <formula1>Lists!$G$2:$G$20</formula1>
    </dataValidation>
  </dataValidations>
  <pageMargins left="0.75" right="0.75" top="1" bottom="1" header="0.5" footer="0.5"/>
</worksheet>
</file>

<file path=xl/worksheets/sheet10.xml><?xml version="1.0" encoding="utf-8"?>
<worksheet xmlns="http://schemas.openxmlformats.org/spreadsheetml/2006/main">
  <sheetPr>
    <tabColor rgb="005A6B62"/>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4" customWidth="1" min="4" max="4"/>
    <col width="24" customWidth="1" min="5" max="5"/>
    <col width="16" customWidth="1" min="6" max="6"/>
    <col width="20" customWidth="1" min="7" max="7"/>
  </cols>
  <sheetData>
    <row r="1" ht="30" customHeight="1">
      <c r="A1" s="6" t="inlineStr">
        <is>
          <t>Markets</t>
        </is>
      </c>
      <c r="B1" s="6" t="inlineStr">
        <is>
          <t>Brands</t>
        </is>
      </c>
      <c r="C1" s="6" t="inlineStr">
        <is>
          <t>Streams</t>
        </is>
      </c>
      <c r="D1" s="6" t="inlineStr">
        <is>
          <t>Status</t>
        </is>
      </c>
      <c r="E1" s="6" t="inlineStr">
        <is>
          <t>Agencies</t>
        </is>
      </c>
      <c r="F1" s="6" t="inlineStr">
        <is>
          <t>People</t>
        </is>
      </c>
      <c r="G1" s="6" t="inlineStr">
        <is>
          <t>Comment types</t>
        </is>
      </c>
    </row>
    <row r="2">
      <c r="A2" s="11" t="inlineStr">
        <is>
          <t>MENA</t>
        </is>
      </c>
      <c r="B2" s="11" t="inlineStr">
        <is>
          <t>Multi-brand</t>
        </is>
      </c>
      <c r="C2" s="11" t="inlineStr">
        <is>
          <t>Performance Marketing</t>
        </is>
      </c>
      <c r="D2" s="11" t="inlineStr">
        <is>
          <t>Not started</t>
        </is>
      </c>
      <c r="E2" s="11" t="inlineStr">
        <is>
          <t>Anphonic</t>
        </is>
      </c>
      <c r="F2" s="11" t="inlineStr">
        <is>
          <t>Suhail</t>
        </is>
      </c>
      <c r="G2" s="11" t="inlineStr">
        <is>
          <t>Update</t>
        </is>
      </c>
    </row>
    <row r="3">
      <c r="A3" s="11" t="inlineStr">
        <is>
          <t>SSA</t>
        </is>
      </c>
      <c r="B3" s="11" t="inlineStr">
        <is>
          <t>Dabur Amla</t>
        </is>
      </c>
      <c r="C3" s="11" t="inlineStr">
        <is>
          <t>Influencer Marketing</t>
        </is>
      </c>
      <c r="D3" s="11" t="inlineStr">
        <is>
          <t>In progress</t>
        </is>
      </c>
      <c r="E3" s="11" t="inlineStr">
        <is>
          <t>Creative Stitch</t>
        </is>
      </c>
      <c r="F3" s="11" t="inlineStr">
        <is>
          <t>Nour</t>
        </is>
      </c>
      <c r="G3" s="11" t="inlineStr">
        <is>
          <t>Idea</t>
        </is>
      </c>
    </row>
    <row r="4">
      <c r="A4" s="11" t="inlineStr">
        <is>
          <t>India</t>
        </is>
      </c>
      <c r="B4" s="11" t="inlineStr">
        <is>
          <t>Vatika</t>
        </is>
      </c>
      <c r="C4" s="11" t="inlineStr">
        <is>
          <t>Content Creators</t>
        </is>
      </c>
      <c r="D4" s="11" t="inlineStr">
        <is>
          <t>Blocked</t>
        </is>
      </c>
      <c r="E4" s="11" t="inlineStr">
        <is>
          <t>Ghost Agency</t>
        </is>
      </c>
      <c r="F4" s="11" t="inlineStr">
        <is>
          <t>Sanya</t>
        </is>
      </c>
      <c r="G4" s="11" t="inlineStr">
        <is>
          <t>Learning</t>
        </is>
      </c>
    </row>
    <row r="5">
      <c r="A5" s="11" t="inlineStr">
        <is>
          <t>Egypt</t>
        </is>
      </c>
      <c r="B5" s="11" t="inlineStr">
        <is>
          <t>Dabur Red</t>
        </is>
      </c>
      <c r="C5" s="11" t="inlineStr">
        <is>
          <t>Social Media Management</t>
        </is>
      </c>
      <c r="D5" s="11" t="inlineStr">
        <is>
          <t>Done</t>
        </is>
      </c>
      <c r="E5" s="11" t="inlineStr">
        <is>
          <t>Sagerlabs</t>
        </is>
      </c>
      <c r="F5" s="11" t="inlineStr">
        <is>
          <t>Khushii</t>
        </is>
      </c>
      <c r="G5" s="11" t="inlineStr">
        <is>
          <t>Expectation</t>
        </is>
      </c>
    </row>
    <row r="6">
      <c r="A6" s="11" t="inlineStr">
        <is>
          <t>Turkey (Hobby)</t>
        </is>
      </c>
      <c r="B6" s="11" t="inlineStr">
        <is>
          <t>Dabur Herb'l</t>
        </is>
      </c>
      <c r="C6" s="11" t="inlineStr">
        <is>
          <t>Website / Tech</t>
        </is>
      </c>
      <c r="E6" s="11" t="inlineStr">
        <is>
          <t>Saturday Communication</t>
        </is>
      </c>
      <c r="F6" s="11" t="inlineStr">
        <is>
          <t>Team member 4</t>
        </is>
      </c>
      <c r="G6" s="11" t="inlineStr">
        <is>
          <t>PPT / deck</t>
        </is>
      </c>
    </row>
    <row r="7">
      <c r="A7" s="11" t="inlineStr">
        <is>
          <t>Pakistan</t>
        </is>
      </c>
      <c r="B7" s="11" t="inlineStr">
        <is>
          <t>Herbolene</t>
        </is>
      </c>
      <c r="C7" s="11" t="inlineStr">
        <is>
          <t>SEO / GEO</t>
        </is>
      </c>
      <c r="F7" s="11" t="inlineStr">
        <is>
          <t>Manish</t>
        </is>
      </c>
      <c r="G7" s="11" t="inlineStr">
        <is>
          <t>Question for Suhail</t>
        </is>
      </c>
    </row>
    <row r="8">
      <c r="A8" s="11" t="inlineStr">
        <is>
          <t>Multi-market</t>
        </is>
      </c>
      <c r="B8" s="11" t="inlineStr">
        <is>
          <t>Hobby</t>
        </is>
      </c>
      <c r="C8" s="11" t="inlineStr">
        <is>
          <t>AI Projects</t>
        </is>
      </c>
      <c r="F8" s="11" t="inlineStr">
        <is>
          <t>Nishant</t>
        </is>
      </c>
      <c r="G8" s="11" t="inlineStr">
        <is>
          <t>Urgent flag</t>
        </is>
      </c>
    </row>
    <row r="9">
      <c r="A9" s="11" t="inlineStr">
        <is>
          <t>Internal</t>
        </is>
      </c>
      <c r="B9" s="11" t="inlineStr">
        <is>
          <t>Fem</t>
        </is>
      </c>
      <c r="C9" s="11" t="inlineStr">
        <is>
          <t>Big Bets</t>
        </is>
      </c>
    </row>
    <row r="10">
      <c r="B10" s="11" t="inlineStr">
        <is>
          <t>ORS Olive Oil</t>
        </is>
      </c>
      <c r="C10" s="11" t="inlineStr">
        <is>
          <t>Digital Activations</t>
        </is>
      </c>
    </row>
    <row r="11">
      <c r="B11" s="11" t="inlineStr">
        <is>
          <t>Dermoviva</t>
        </is>
      </c>
      <c r="C11" s="11" t="inlineStr">
        <is>
          <t>Digital Production</t>
        </is>
      </c>
    </row>
    <row r="12">
      <c r="B12" s="11" t="inlineStr">
        <is>
          <t>Honitus</t>
        </is>
      </c>
      <c r="C12" s="11" t="inlineStr">
        <is>
          <t>ORM</t>
        </is>
      </c>
    </row>
    <row r="13">
      <c r="B13" s="11" t="inlineStr">
        <is>
          <t>Dabur Chyawanprash</t>
        </is>
      </c>
      <c r="C13" s="11" t="inlineStr">
        <is>
          <t>Others</t>
        </is>
      </c>
    </row>
    <row r="14">
      <c r="B14" s="11" t="inlineStr">
        <is>
          <t>GenZ LIC &amp; Serum</t>
        </is>
      </c>
      <c r="C14" s="11" t="inlineStr">
        <is>
          <t>Dashboards</t>
        </is>
      </c>
    </row>
    <row r="15">
      <c r="B15" s="11" t="inlineStr">
        <is>
          <t>Vatika Curls</t>
        </is>
      </c>
      <c r="C15" s="11" t="inlineStr">
        <is>
          <t>Sentiment Analysis</t>
        </is>
      </c>
    </row>
    <row r="16">
      <c r="B16" s="11" t="inlineStr">
        <is>
          <t>FreshNUp</t>
        </is>
      </c>
    </row>
    <row r="17">
      <c r="B17" s="11" t="inlineStr">
        <is>
          <t>Herbolene Lotion</t>
        </is>
      </c>
    </row>
    <row r="18">
      <c r="B18" s="11" t="inlineStr">
        <is>
          <t>Vatika Bodywash</t>
        </is>
      </c>
    </row>
    <row r="19">
      <c r="B19" s="11" t="inlineStr">
        <is>
          <t>Amla Batana</t>
        </is>
      </c>
    </row>
    <row r="20">
      <c r="B20" s="11" t="inlineStr">
        <is>
          <t>Amla Rosemary</t>
        </is>
      </c>
    </row>
    <row r="21">
      <c r="B21" s="11" t="inlineStr">
        <is>
          <t>Vatika Menz Hair Cream</t>
        </is>
      </c>
    </row>
    <row r="22">
      <c r="B22" s="11" t="inlineStr">
        <is>
          <t>Vatika Sciencification</t>
        </is>
      </c>
    </row>
    <row r="23">
      <c r="B23" s="11" t="inlineStr">
        <is>
          <t>Vatika Batana Range</t>
        </is>
      </c>
    </row>
    <row r="24">
      <c r="B24" s="11" t="inlineStr">
        <is>
          <t>Vatika Rosemary Range</t>
        </is>
      </c>
    </row>
    <row r="25">
      <c r="B25" s="11" t="inlineStr">
        <is>
          <t>Vatika Hair Masks</t>
        </is>
      </c>
    </row>
    <row r="26">
      <c r="B26" s="11" t="inlineStr">
        <is>
          <t>Vatika Onion Range</t>
        </is>
      </c>
    </row>
    <row r="27">
      <c r="B27" s="11" t="inlineStr">
        <is>
          <t>Herbolene Pet Jelly Blue</t>
        </is>
      </c>
    </row>
    <row r="28">
      <c r="B28" s="11" t="inlineStr">
        <is>
          <t>Fem Razors</t>
        </is>
      </c>
    </row>
    <row r="29">
      <c r="B29" s="11" t="inlineStr">
        <is>
          <t>Vatika Kit Color</t>
        </is>
      </c>
    </row>
    <row r="30">
      <c r="B30" s="11" t="inlineStr">
        <is>
          <t>Vatika Hair Spray</t>
        </is>
      </c>
    </row>
    <row r="31">
      <c r="B31" s="11" t="inlineStr">
        <is>
          <t>Fem HRC</t>
        </is>
      </c>
    </row>
    <row r="32">
      <c r="B32" s="11" t="inlineStr">
        <is>
          <t>Dabur Miswak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2026-10-07T11:12:49Z</dcterms:created>
  <dcterms:modified xsi:type="dcterms:W3CDTF">2026-10-07T11:12:49Z</dcterms:modified>
</cp:coreProperties>
</file>